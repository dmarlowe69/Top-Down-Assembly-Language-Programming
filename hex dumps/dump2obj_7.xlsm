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 activeTab="1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V16" i="1"/>
  <c r="BV15"/>
  <c r="BV14"/>
  <c r="BV13"/>
  <c r="BV12"/>
  <c r="BV11"/>
  <c r="BV10"/>
  <c r="BV9"/>
  <c r="BV8"/>
  <c r="BV7"/>
  <c r="BV6"/>
  <c r="BV5"/>
  <c r="BV4"/>
  <c r="BV3"/>
  <c r="BV2"/>
  <c r="BV1"/>
  <c r="BM1"/>
  <c r="BM3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BM2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I100" l="1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AT2" l="1"/>
  <c r="BB45"/>
  <c r="BB47"/>
  <c r="BB49"/>
  <c r="BB51"/>
  <c r="BK51" s="1"/>
  <c r="BB53"/>
  <c r="BK53" s="1"/>
  <c r="BB55"/>
  <c r="BK55" s="1"/>
  <c r="BB57"/>
  <c r="BK57" s="1"/>
  <c r="BB59"/>
  <c r="BK59" s="1"/>
  <c r="BB61"/>
  <c r="BK61" s="1"/>
  <c r="BB63"/>
  <c r="BK63" s="1"/>
  <c r="BB65"/>
  <c r="BK65" s="1"/>
  <c r="BB67"/>
  <c r="BK67" s="1"/>
  <c r="BB69"/>
  <c r="BK69" s="1"/>
  <c r="BB71"/>
  <c r="BK71" s="1"/>
  <c r="BB73"/>
  <c r="BK73" s="1"/>
  <c r="BB75"/>
  <c r="BK75" s="1"/>
  <c r="BB77"/>
  <c r="BK77" s="1"/>
  <c r="BB79"/>
  <c r="BK79" s="1"/>
  <c r="BB81"/>
  <c r="BK81" s="1"/>
  <c r="BB83"/>
  <c r="BK83" s="1"/>
  <c r="BB85"/>
  <c r="BK85" s="1"/>
  <c r="BB87"/>
  <c r="BK87" s="1"/>
  <c r="BB89"/>
  <c r="BK89" s="1"/>
  <c r="BB91"/>
  <c r="BK91" s="1"/>
  <c r="BB93"/>
  <c r="BK93" s="1"/>
  <c r="BB95"/>
  <c r="BK95" s="1"/>
  <c r="BB97"/>
  <c r="BK97" s="1"/>
  <c r="BB99"/>
  <c r="BK99" s="1"/>
  <c r="BB5"/>
  <c r="BB7"/>
  <c r="BB9"/>
  <c r="BB11"/>
  <c r="BB13"/>
  <c r="BB15"/>
  <c r="BB17"/>
  <c r="BB19"/>
  <c r="BB21"/>
  <c r="BB23"/>
  <c r="BB25"/>
  <c r="BB27"/>
  <c r="BB29"/>
  <c r="BB31"/>
  <c r="BB33"/>
  <c r="BB35"/>
  <c r="BB37"/>
  <c r="BB39"/>
  <c r="BB41"/>
  <c r="BB43"/>
  <c r="BB2"/>
  <c r="BK2" s="1"/>
  <c r="BO2" s="1"/>
  <c r="BQ2" s="1"/>
  <c r="AX2"/>
  <c r="AZ2" s="1"/>
  <c r="AK3"/>
  <c r="AO3"/>
  <c r="AS3"/>
  <c r="BF3"/>
  <c r="BJ3"/>
  <c r="AN4"/>
  <c r="AR4"/>
  <c r="BE4"/>
  <c r="BK5"/>
  <c r="BO5" s="1"/>
  <c r="BQ5" s="1"/>
  <c r="AQ5"/>
  <c r="AL3"/>
  <c r="AN3"/>
  <c r="AP3"/>
  <c r="AR3"/>
  <c r="BC3"/>
  <c r="BE3"/>
  <c r="BG3"/>
  <c r="BI3"/>
  <c r="AK4"/>
  <c r="AM4"/>
  <c r="AO4"/>
  <c r="AQ4"/>
  <c r="AS4"/>
  <c r="BD4"/>
  <c r="BF4"/>
  <c r="BH4"/>
  <c r="BJ4"/>
  <c r="AL5"/>
  <c r="AN5"/>
  <c r="AP5"/>
  <c r="AR5"/>
  <c r="AK6"/>
  <c r="AM6"/>
  <c r="AO6"/>
  <c r="AQ6"/>
  <c r="AS6"/>
  <c r="BD6"/>
  <c r="BF6"/>
  <c r="BH6"/>
  <c r="BJ6"/>
  <c r="AK8"/>
  <c r="AM8"/>
  <c r="AO8"/>
  <c r="AQ8"/>
  <c r="AS8"/>
  <c r="BD8"/>
  <c r="BF8"/>
  <c r="BH8"/>
  <c r="BJ8"/>
  <c r="AK10"/>
  <c r="AM10"/>
  <c r="AO10"/>
  <c r="AQ10"/>
  <c r="AS10"/>
  <c r="BD10"/>
  <c r="BF10"/>
  <c r="BH10"/>
  <c r="BJ10"/>
  <c r="AK12"/>
  <c r="AM12"/>
  <c r="AO12"/>
  <c r="AQ12"/>
  <c r="AS12"/>
  <c r="BD12"/>
  <c r="BF12"/>
  <c r="BH12"/>
  <c r="BJ12"/>
  <c r="AK14"/>
  <c r="AM14"/>
  <c r="AO14"/>
  <c r="AQ14"/>
  <c r="AS14"/>
  <c r="BD14"/>
  <c r="BF14"/>
  <c r="BH14"/>
  <c r="BJ14"/>
  <c r="AK16"/>
  <c r="AM16"/>
  <c r="AO16"/>
  <c r="AQ16"/>
  <c r="AS16"/>
  <c r="BD16"/>
  <c r="BF16"/>
  <c r="BH16"/>
  <c r="BJ16"/>
  <c r="AK18"/>
  <c r="AM18"/>
  <c r="AO18"/>
  <c r="AQ18"/>
  <c r="AS18"/>
  <c r="BD18"/>
  <c r="BF18"/>
  <c r="BH18"/>
  <c r="BJ18"/>
  <c r="AK20"/>
  <c r="AM20"/>
  <c r="AO20"/>
  <c r="AQ20"/>
  <c r="AS20"/>
  <c r="BD20"/>
  <c r="BF20"/>
  <c r="BH20"/>
  <c r="BJ20"/>
  <c r="AK22"/>
  <c r="AM22"/>
  <c r="AO22"/>
  <c r="AQ22"/>
  <c r="AS22"/>
  <c r="BD22"/>
  <c r="BF22"/>
  <c r="BH22"/>
  <c r="BJ22"/>
  <c r="AK24"/>
  <c r="AM24"/>
  <c r="AO24"/>
  <c r="AQ24"/>
  <c r="AS24"/>
  <c r="BD24"/>
  <c r="BF24"/>
  <c r="BH24"/>
  <c r="BJ24"/>
  <c r="AK26"/>
  <c r="AM26"/>
  <c r="AO26"/>
  <c r="AQ26"/>
  <c r="AS26"/>
  <c r="BD26"/>
  <c r="BF26"/>
  <c r="BH26"/>
  <c r="BJ26"/>
  <c r="AK28"/>
  <c r="AM28"/>
  <c r="AO28"/>
  <c r="AQ28"/>
  <c r="AS28"/>
  <c r="BD28"/>
  <c r="BF28"/>
  <c r="BH28"/>
  <c r="BJ28"/>
  <c r="AK30"/>
  <c r="AM30"/>
  <c r="AO30"/>
  <c r="AQ30"/>
  <c r="AS30"/>
  <c r="BD30"/>
  <c r="BF30"/>
  <c r="BH30"/>
  <c r="BJ30"/>
  <c r="AK32"/>
  <c r="AM32"/>
  <c r="AO32"/>
  <c r="AQ32"/>
  <c r="AS32"/>
  <c r="BD32"/>
  <c r="BF32"/>
  <c r="BH32"/>
  <c r="BJ32"/>
  <c r="AK34"/>
  <c r="AM34"/>
  <c r="AO34"/>
  <c r="AQ34"/>
  <c r="AS34"/>
  <c r="BD34"/>
  <c r="BF34"/>
  <c r="BH34"/>
  <c r="BJ34"/>
  <c r="AK36"/>
  <c r="AM36"/>
  <c r="AO36"/>
  <c r="AQ36"/>
  <c r="AS36"/>
  <c r="BD36"/>
  <c r="BF36"/>
  <c r="BH36"/>
  <c r="BJ36"/>
  <c r="AK38"/>
  <c r="AM38"/>
  <c r="AO38"/>
  <c r="AQ38"/>
  <c r="AS38"/>
  <c r="BD38"/>
  <c r="BF38"/>
  <c r="BH38"/>
  <c r="BJ38"/>
  <c r="AK40"/>
  <c r="AM40"/>
  <c r="AO40"/>
  <c r="AQ40"/>
  <c r="AS40"/>
  <c r="BD40"/>
  <c r="BF40"/>
  <c r="BH40"/>
  <c r="BJ40"/>
  <c r="AK42"/>
  <c r="AM42"/>
  <c r="AO42"/>
  <c r="AQ42"/>
  <c r="AS42"/>
  <c r="BD42"/>
  <c r="BF42"/>
  <c r="BH42"/>
  <c r="BJ42"/>
  <c r="AK44"/>
  <c r="AM44"/>
  <c r="AO44"/>
  <c r="AQ44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AM3"/>
  <c r="AQ3"/>
  <c r="BD3"/>
  <c r="BH3"/>
  <c r="AL4"/>
  <c r="AP4"/>
  <c r="BC4"/>
  <c r="BG4"/>
  <c r="BI4"/>
  <c r="AM5"/>
  <c r="AO5"/>
  <c r="AS5"/>
  <c r="AL6"/>
  <c r="AN6"/>
  <c r="AP6"/>
  <c r="AR6"/>
  <c r="BC6"/>
  <c r="BE6"/>
  <c r="BG6"/>
  <c r="BI6"/>
  <c r="BK7"/>
  <c r="BO7" s="1"/>
  <c r="BQ7" s="1"/>
  <c r="AL8"/>
  <c r="AN8"/>
  <c r="AP8"/>
  <c r="AR8"/>
  <c r="BC8"/>
  <c r="BE8"/>
  <c r="BG8"/>
  <c r="BI8"/>
  <c r="BK9"/>
  <c r="BO9" s="1"/>
  <c r="BQ9" s="1"/>
  <c r="AL10"/>
  <c r="AN10"/>
  <c r="AP10"/>
  <c r="AR10"/>
  <c r="BC10"/>
  <c r="BE10"/>
  <c r="BG10"/>
  <c r="BI10"/>
  <c r="BK11"/>
  <c r="BO11" s="1"/>
  <c r="BQ11" s="1"/>
  <c r="AL12"/>
  <c r="AN12"/>
  <c r="AP12"/>
  <c r="AR12"/>
  <c r="BC12"/>
  <c r="BE12"/>
  <c r="BG12"/>
  <c r="BI12"/>
  <c r="BK13"/>
  <c r="BO13" s="1"/>
  <c r="BQ13" s="1"/>
  <c r="AL14"/>
  <c r="AN14"/>
  <c r="AP14"/>
  <c r="AR14"/>
  <c r="BC14"/>
  <c r="BE14"/>
  <c r="BG14"/>
  <c r="BI14"/>
  <c r="BK15"/>
  <c r="BO15" s="1"/>
  <c r="BQ15" s="1"/>
  <c r="AL16"/>
  <c r="AN16"/>
  <c r="AP16"/>
  <c r="AR16"/>
  <c r="BC16"/>
  <c r="BE16"/>
  <c r="BG16"/>
  <c r="BI16"/>
  <c r="BK17"/>
  <c r="BO17" s="1"/>
  <c r="BQ17" s="1"/>
  <c r="AL18"/>
  <c r="AN18"/>
  <c r="AP18"/>
  <c r="AR18"/>
  <c r="BC18"/>
  <c r="BE18"/>
  <c r="BG18"/>
  <c r="BI18"/>
  <c r="BK19"/>
  <c r="BO19" s="1"/>
  <c r="BQ19" s="1"/>
  <c r="AL20"/>
  <c r="AN20"/>
  <c r="AP20"/>
  <c r="AR20"/>
  <c r="BC20"/>
  <c r="BE20"/>
  <c r="BG20"/>
  <c r="BI20"/>
  <c r="BK21"/>
  <c r="BO21" s="1"/>
  <c r="BQ21" s="1"/>
  <c r="AL22"/>
  <c r="AN22"/>
  <c r="AP22"/>
  <c r="AR22"/>
  <c r="BC22"/>
  <c r="BE22"/>
  <c r="BG22"/>
  <c r="BI22"/>
  <c r="BK23"/>
  <c r="BO23" s="1"/>
  <c r="BQ23" s="1"/>
  <c r="AL24"/>
  <c r="AN24"/>
  <c r="AP24"/>
  <c r="AR24"/>
  <c r="BC24"/>
  <c r="BE24"/>
  <c r="BG24"/>
  <c r="BI24"/>
  <c r="BK25"/>
  <c r="BO25" s="1"/>
  <c r="BQ25" s="1"/>
  <c r="AL26"/>
  <c r="AN26"/>
  <c r="AP26"/>
  <c r="AR26"/>
  <c r="BC26"/>
  <c r="BE26"/>
  <c r="BG26"/>
  <c r="BI26"/>
  <c r="BK27"/>
  <c r="BO27" s="1"/>
  <c r="BQ27" s="1"/>
  <c r="AL28"/>
  <c r="AN28"/>
  <c r="AP28"/>
  <c r="AR28"/>
  <c r="BC28"/>
  <c r="BE28"/>
  <c r="BG28"/>
  <c r="BI28"/>
  <c r="BK29"/>
  <c r="BO29" s="1"/>
  <c r="BQ29" s="1"/>
  <c r="AL30"/>
  <c r="AN30"/>
  <c r="AP30"/>
  <c r="AR30"/>
  <c r="BC30"/>
  <c r="BE30"/>
  <c r="BG30"/>
  <c r="BI30"/>
  <c r="BK31"/>
  <c r="BO31" s="1"/>
  <c r="BQ31" s="1"/>
  <c r="AL32"/>
  <c r="AN32"/>
  <c r="AP32"/>
  <c r="AR32"/>
  <c r="BC32"/>
  <c r="BE32"/>
  <c r="BG32"/>
  <c r="BI32"/>
  <c r="BK33"/>
  <c r="BO33" s="1"/>
  <c r="BQ33" s="1"/>
  <c r="AL34"/>
  <c r="AN34"/>
  <c r="AP34"/>
  <c r="AR34"/>
  <c r="BC34"/>
  <c r="BE34"/>
  <c r="BG34"/>
  <c r="BI34"/>
  <c r="BK35"/>
  <c r="BO35" s="1"/>
  <c r="BQ35" s="1"/>
  <c r="AL36"/>
  <c r="AN36"/>
  <c r="AP36"/>
  <c r="AR36"/>
  <c r="BC36"/>
  <c r="BE36"/>
  <c r="BG36"/>
  <c r="BI36"/>
  <c r="BK37"/>
  <c r="BO37" s="1"/>
  <c r="BQ37" s="1"/>
  <c r="AL38"/>
  <c r="AN38"/>
  <c r="AP38"/>
  <c r="AR38"/>
  <c r="BC38"/>
  <c r="BE38"/>
  <c r="BG38"/>
  <c r="BI38"/>
  <c r="BK39"/>
  <c r="BO39" s="1"/>
  <c r="BQ39" s="1"/>
  <c r="AL40"/>
  <c r="AN40"/>
  <c r="AP40"/>
  <c r="AR40"/>
  <c r="BC40"/>
  <c r="BE40"/>
  <c r="BG40"/>
  <c r="BI40"/>
  <c r="BK41"/>
  <c r="BO41" s="1"/>
  <c r="BQ41" s="1"/>
  <c r="AL42"/>
  <c r="AN42"/>
  <c r="AP42"/>
  <c r="AR42"/>
  <c r="BC42"/>
  <c r="BE42"/>
  <c r="BG42"/>
  <c r="BI42"/>
  <c r="BK43"/>
  <c r="BO43" s="1"/>
  <c r="BQ43" s="1"/>
  <c r="AL44"/>
  <c r="AN44"/>
  <c r="AP44"/>
  <c r="AR44"/>
  <c r="BC44"/>
  <c r="BE44"/>
  <c r="BG44"/>
  <c r="BI44"/>
  <c r="BK45"/>
  <c r="BO45" s="1"/>
  <c r="BQ45" s="1"/>
  <c r="AL46"/>
  <c r="AN46"/>
  <c r="AP46"/>
  <c r="AR46"/>
  <c r="BC46"/>
  <c r="BE46"/>
  <c r="BG46"/>
  <c r="BI46"/>
  <c r="BK47"/>
  <c r="BO47" s="1"/>
  <c r="BQ47" s="1"/>
  <c r="AL48"/>
  <c r="AN48"/>
  <c r="AP48"/>
  <c r="AR48"/>
  <c r="BC48"/>
  <c r="BE48"/>
  <c r="BG48"/>
  <c r="BI48"/>
  <c r="BK49"/>
  <c r="BO49" s="1"/>
  <c r="BQ49" s="1"/>
  <c r="BD44"/>
  <c r="BF44"/>
  <c r="BH44"/>
  <c r="BJ44"/>
  <c r="AK46"/>
  <c r="AM46"/>
  <c r="AO46"/>
  <c r="AQ46"/>
  <c r="AS46"/>
  <c r="BD46"/>
  <c r="BF46"/>
  <c r="BH46"/>
  <c r="BJ46"/>
  <c r="AK48"/>
  <c r="AM48"/>
  <c r="AO48"/>
  <c r="AQ48"/>
  <c r="AS48"/>
  <c r="BD48"/>
  <c r="BF48"/>
  <c r="BH48"/>
  <c r="BJ48"/>
  <c r="AK50"/>
  <c r="AM50"/>
  <c r="AO50"/>
  <c r="AQ50"/>
  <c r="AS50"/>
  <c r="BD50"/>
  <c r="BF50"/>
  <c r="BH50"/>
  <c r="BJ50"/>
  <c r="AK52"/>
  <c r="AM52"/>
  <c r="AO52"/>
  <c r="AQ52"/>
  <c r="AS52"/>
  <c r="BD52"/>
  <c r="BF52"/>
  <c r="BH52"/>
  <c r="BJ52"/>
  <c r="AK54"/>
  <c r="AM54"/>
  <c r="AO54"/>
  <c r="AQ54"/>
  <c r="AS54"/>
  <c r="BD54"/>
  <c r="BF54"/>
  <c r="BH54"/>
  <c r="BJ54"/>
  <c r="AK56"/>
  <c r="AM56"/>
  <c r="AO56"/>
  <c r="AQ56"/>
  <c r="AS56"/>
  <c r="BD56"/>
  <c r="BF56"/>
  <c r="BH56"/>
  <c r="BJ56"/>
  <c r="AK58"/>
  <c r="AM58"/>
  <c r="AO58"/>
  <c r="AQ58"/>
  <c r="AS58"/>
  <c r="BD58"/>
  <c r="BF58"/>
  <c r="BH58"/>
  <c r="BJ58"/>
  <c r="AK60"/>
  <c r="AM60"/>
  <c r="AO60"/>
  <c r="AQ60"/>
  <c r="AS60"/>
  <c r="BD60"/>
  <c r="BF60"/>
  <c r="BH60"/>
  <c r="BJ60"/>
  <c r="AK62"/>
  <c r="AM62"/>
  <c r="AO62"/>
  <c r="AQ62"/>
  <c r="AS62"/>
  <c r="BD62"/>
  <c r="BF62"/>
  <c r="BH62"/>
  <c r="BJ62"/>
  <c r="AK64"/>
  <c r="AM64"/>
  <c r="AO64"/>
  <c r="AQ64"/>
  <c r="AS64"/>
  <c r="BD64"/>
  <c r="BF64"/>
  <c r="BH64"/>
  <c r="BJ64"/>
  <c r="AK66"/>
  <c r="AM66"/>
  <c r="AO66"/>
  <c r="AQ66"/>
  <c r="AS66"/>
  <c r="BD66"/>
  <c r="BF66"/>
  <c r="BH66"/>
  <c r="BJ66"/>
  <c r="AK68"/>
  <c r="AM68"/>
  <c r="AO68"/>
  <c r="AQ68"/>
  <c r="AS68"/>
  <c r="BD68"/>
  <c r="BF68"/>
  <c r="BH68"/>
  <c r="BJ68"/>
  <c r="AK70"/>
  <c r="AM70"/>
  <c r="AO70"/>
  <c r="AQ70"/>
  <c r="AS70"/>
  <c r="BD70"/>
  <c r="BF70"/>
  <c r="BH70"/>
  <c r="BJ70"/>
  <c r="AK72"/>
  <c r="AM72"/>
  <c r="AO72"/>
  <c r="AQ72"/>
  <c r="AS72"/>
  <c r="BD72"/>
  <c r="BF72"/>
  <c r="BH72"/>
  <c r="BJ72"/>
  <c r="AK74"/>
  <c r="AM74"/>
  <c r="AO74"/>
  <c r="AQ74"/>
  <c r="AS74"/>
  <c r="BD74"/>
  <c r="BF74"/>
  <c r="BH74"/>
  <c r="BJ74"/>
  <c r="AK76"/>
  <c r="AM76"/>
  <c r="AO76"/>
  <c r="AQ76"/>
  <c r="AS76"/>
  <c r="BD76"/>
  <c r="BF76"/>
  <c r="BH76"/>
  <c r="BJ76"/>
  <c r="AK78"/>
  <c r="AM78"/>
  <c r="AO78"/>
  <c r="AQ78"/>
  <c r="AS78"/>
  <c r="BD78"/>
  <c r="BF78"/>
  <c r="BH78"/>
  <c r="BJ78"/>
  <c r="AK80"/>
  <c r="AM80"/>
  <c r="AO80"/>
  <c r="AQ80"/>
  <c r="AS80"/>
  <c r="BD80"/>
  <c r="BF80"/>
  <c r="BH80"/>
  <c r="BJ80"/>
  <c r="AK82"/>
  <c r="AM82"/>
  <c r="AO82"/>
  <c r="AQ82"/>
  <c r="AS82"/>
  <c r="BD82"/>
  <c r="BF82"/>
  <c r="BH82"/>
  <c r="BJ82"/>
  <c r="AK84"/>
  <c r="AM84"/>
  <c r="AO84"/>
  <c r="AQ84"/>
  <c r="AS84"/>
  <c r="BD84"/>
  <c r="BF84"/>
  <c r="BH84"/>
  <c r="BJ84"/>
  <c r="AK86"/>
  <c r="AM86"/>
  <c r="AO86"/>
  <c r="AQ86"/>
  <c r="AS86"/>
  <c r="BD86"/>
  <c r="BF86"/>
  <c r="BH86"/>
  <c r="BJ86"/>
  <c r="AK88"/>
  <c r="AM88"/>
  <c r="AO88"/>
  <c r="AQ88"/>
  <c r="AS88"/>
  <c r="BD88"/>
  <c r="BF88"/>
  <c r="BH88"/>
  <c r="BJ88"/>
  <c r="AK90"/>
  <c r="AM90"/>
  <c r="AO90"/>
  <c r="AQ90"/>
  <c r="AS90"/>
  <c r="BD90"/>
  <c r="BF90"/>
  <c r="BH90"/>
  <c r="BJ90"/>
  <c r="AK92"/>
  <c r="AM92"/>
  <c r="AO92"/>
  <c r="AQ92"/>
  <c r="AS92"/>
  <c r="BD92"/>
  <c r="BF92"/>
  <c r="BH92"/>
  <c r="BJ92"/>
  <c r="AK94"/>
  <c r="AM94"/>
  <c r="AO94"/>
  <c r="AQ94"/>
  <c r="AS94"/>
  <c r="BD94"/>
  <c r="BF94"/>
  <c r="BH94"/>
  <c r="BJ94"/>
  <c r="AK96"/>
  <c r="AM96"/>
  <c r="AO96"/>
  <c r="AQ96"/>
  <c r="AS96"/>
  <c r="BD96"/>
  <c r="BF96"/>
  <c r="BH96"/>
  <c r="BJ96"/>
  <c r="AK98"/>
  <c r="AM98"/>
  <c r="AO98"/>
  <c r="AQ98"/>
  <c r="AS98"/>
  <c r="BD98"/>
  <c r="BF98"/>
  <c r="BH98"/>
  <c r="BJ98"/>
  <c r="AK100"/>
  <c r="AM100"/>
  <c r="AO100"/>
  <c r="AQ100"/>
  <c r="AS100"/>
  <c r="BD100"/>
  <c r="BF100"/>
  <c r="BH100"/>
  <c r="BJ100"/>
  <c r="AT45"/>
  <c r="AX45" s="1"/>
  <c r="AZ45" s="1"/>
  <c r="AT47"/>
  <c r="AX47" s="1"/>
  <c r="AZ47" s="1"/>
  <c r="AT49"/>
  <c r="AX49" s="1"/>
  <c r="AZ49" s="1"/>
  <c r="AT51"/>
  <c r="AX51" s="1"/>
  <c r="AZ51" s="1"/>
  <c r="AT53"/>
  <c r="AX53" s="1"/>
  <c r="AZ53" s="1"/>
  <c r="AT55"/>
  <c r="AX55" s="1"/>
  <c r="AZ55" s="1"/>
  <c r="AT57"/>
  <c r="AX57" s="1"/>
  <c r="AZ57" s="1"/>
  <c r="AT59"/>
  <c r="AX59" s="1"/>
  <c r="AZ59" s="1"/>
  <c r="AT61"/>
  <c r="AX61" s="1"/>
  <c r="AZ61" s="1"/>
  <c r="AT63"/>
  <c r="AX63" s="1"/>
  <c r="AZ63" s="1"/>
  <c r="AT65"/>
  <c r="AX65" s="1"/>
  <c r="AZ65" s="1"/>
  <c r="AT67"/>
  <c r="AX67" s="1"/>
  <c r="AZ67" s="1"/>
  <c r="AT69"/>
  <c r="AX69" s="1"/>
  <c r="AZ69" s="1"/>
  <c r="AT71"/>
  <c r="AX71" s="1"/>
  <c r="AZ71" s="1"/>
  <c r="AT73"/>
  <c r="AX73" s="1"/>
  <c r="AZ73" s="1"/>
  <c r="AT75"/>
  <c r="AX75" s="1"/>
  <c r="AZ75" s="1"/>
  <c r="AT77"/>
  <c r="AX77" s="1"/>
  <c r="AZ77" s="1"/>
  <c r="AT79"/>
  <c r="AX79" s="1"/>
  <c r="AZ79" s="1"/>
  <c r="AT81"/>
  <c r="AX81" s="1"/>
  <c r="AZ81" s="1"/>
  <c r="AT83"/>
  <c r="AX83" s="1"/>
  <c r="AZ83" s="1"/>
  <c r="AT85"/>
  <c r="AX85" s="1"/>
  <c r="AZ85" s="1"/>
  <c r="AT87"/>
  <c r="AX87" s="1"/>
  <c r="AZ87" s="1"/>
  <c r="AT89"/>
  <c r="AX89" s="1"/>
  <c r="AZ89" s="1"/>
  <c r="AT91"/>
  <c r="AX91" s="1"/>
  <c r="AZ91" s="1"/>
  <c r="AT93"/>
  <c r="AX93" s="1"/>
  <c r="AZ93" s="1"/>
  <c r="AT95"/>
  <c r="AX95" s="1"/>
  <c r="AZ95" s="1"/>
  <c r="AT97"/>
  <c r="AX97" s="1"/>
  <c r="AZ97" s="1"/>
  <c r="AT99"/>
  <c r="AX99" s="1"/>
  <c r="AZ99" s="1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AL50"/>
  <c r="AN50"/>
  <c r="AP50"/>
  <c r="AR50"/>
  <c r="BC50"/>
  <c r="BE50"/>
  <c r="BG50"/>
  <c r="BI50"/>
  <c r="AL52"/>
  <c r="AN52"/>
  <c r="AP52"/>
  <c r="AR52"/>
  <c r="BC52"/>
  <c r="BE52"/>
  <c r="BG52"/>
  <c r="BI52"/>
  <c r="AL54"/>
  <c r="AN54"/>
  <c r="AP54"/>
  <c r="AR54"/>
  <c r="BC54"/>
  <c r="BE54"/>
  <c r="BG54"/>
  <c r="BI54"/>
  <c r="AL56"/>
  <c r="AN56"/>
  <c r="AP56"/>
  <c r="AR56"/>
  <c r="BC56"/>
  <c r="BE56"/>
  <c r="BG56"/>
  <c r="BI56"/>
  <c r="AL58"/>
  <c r="AN58"/>
  <c r="AP58"/>
  <c r="AR58"/>
  <c r="BC58"/>
  <c r="BE58"/>
  <c r="BG58"/>
  <c r="BI58"/>
  <c r="AL60"/>
  <c r="AN60"/>
  <c r="AP60"/>
  <c r="AR60"/>
  <c r="BC60"/>
  <c r="BE60"/>
  <c r="BG60"/>
  <c r="BI60"/>
  <c r="AL62"/>
  <c r="AN62"/>
  <c r="AP62"/>
  <c r="AR62"/>
  <c r="BC62"/>
  <c r="BE62"/>
  <c r="BG62"/>
  <c r="BI62"/>
  <c r="AL64"/>
  <c r="AN64"/>
  <c r="AP64"/>
  <c r="AR64"/>
  <c r="BC64"/>
  <c r="BE64"/>
  <c r="BG64"/>
  <c r="BI64"/>
  <c r="AL66"/>
  <c r="AN66"/>
  <c r="AP66"/>
  <c r="AR66"/>
  <c r="BC66"/>
  <c r="BE66"/>
  <c r="BG66"/>
  <c r="BI66"/>
  <c r="AL68"/>
  <c r="AN68"/>
  <c r="AP68"/>
  <c r="AR68"/>
  <c r="BC68"/>
  <c r="BE68"/>
  <c r="BG68"/>
  <c r="BI68"/>
  <c r="AL70"/>
  <c r="AN70"/>
  <c r="AP70"/>
  <c r="AR70"/>
  <c r="BC70"/>
  <c r="BE70"/>
  <c r="BG70"/>
  <c r="BI70"/>
  <c r="AL72"/>
  <c r="AN72"/>
  <c r="AP72"/>
  <c r="AR72"/>
  <c r="BC72"/>
  <c r="BE72"/>
  <c r="BG72"/>
  <c r="BI72"/>
  <c r="AL74"/>
  <c r="AN74"/>
  <c r="AP74"/>
  <c r="AR74"/>
  <c r="BC74"/>
  <c r="BE74"/>
  <c r="BG74"/>
  <c r="BI74"/>
  <c r="AL76"/>
  <c r="AN76"/>
  <c r="AP76"/>
  <c r="AR76"/>
  <c r="BC76"/>
  <c r="BE76"/>
  <c r="BG76"/>
  <c r="BI76"/>
  <c r="AL78"/>
  <c r="AN78"/>
  <c r="AP78"/>
  <c r="AR78"/>
  <c r="BC78"/>
  <c r="BE78"/>
  <c r="BG78"/>
  <c r="BI78"/>
  <c r="AL80"/>
  <c r="AN80"/>
  <c r="AP80"/>
  <c r="AR80"/>
  <c r="BC80"/>
  <c r="BE80"/>
  <c r="BG80"/>
  <c r="BI80"/>
  <c r="AL82"/>
  <c r="AN82"/>
  <c r="AP82"/>
  <c r="AR82"/>
  <c r="BC82"/>
  <c r="BE82"/>
  <c r="BG82"/>
  <c r="BI82"/>
  <c r="AL84"/>
  <c r="AN84"/>
  <c r="AP84"/>
  <c r="AR84"/>
  <c r="BC84"/>
  <c r="BE84"/>
  <c r="BG84"/>
  <c r="BI84"/>
  <c r="AL86"/>
  <c r="AN86"/>
  <c r="AP86"/>
  <c r="AR86"/>
  <c r="BC86"/>
  <c r="BE86"/>
  <c r="BG86"/>
  <c r="BI86"/>
  <c r="AL88"/>
  <c r="AN88"/>
  <c r="AP88"/>
  <c r="AR88"/>
  <c r="BC88"/>
  <c r="BE88"/>
  <c r="BG88"/>
  <c r="BI88"/>
  <c r="AL90"/>
  <c r="AN90"/>
  <c r="AP90"/>
  <c r="AR90"/>
  <c r="BC90"/>
  <c r="BE90"/>
  <c r="BG90"/>
  <c r="BI90"/>
  <c r="AL92"/>
  <c r="AN92"/>
  <c r="AP92"/>
  <c r="AR92"/>
  <c r="BC92"/>
  <c r="BE92"/>
  <c r="BG92"/>
  <c r="BI92"/>
  <c r="AL94"/>
  <c r="AN94"/>
  <c r="AP94"/>
  <c r="AR94"/>
  <c r="BC94"/>
  <c r="BE94"/>
  <c r="BG94"/>
  <c r="BI94"/>
  <c r="AL96"/>
  <c r="AN96"/>
  <c r="AP96"/>
  <c r="AR96"/>
  <c r="BC96"/>
  <c r="BE96"/>
  <c r="BG96"/>
  <c r="BI96"/>
  <c r="AL98"/>
  <c r="AN98"/>
  <c r="AP98"/>
  <c r="AR98"/>
  <c r="BC98"/>
  <c r="BE98"/>
  <c r="BG98"/>
  <c r="BI98"/>
  <c r="AL100"/>
  <c r="AN100"/>
  <c r="AP100"/>
  <c r="AR100"/>
  <c r="BC100"/>
  <c r="BE100"/>
  <c r="BG100"/>
  <c r="BI100"/>
  <c r="AK1"/>
  <c r="S110"/>
  <c r="AO1"/>
  <c r="W110"/>
  <c r="AS1"/>
  <c r="AA110"/>
  <c r="BF1"/>
  <c r="AH110"/>
  <c r="BJ1"/>
  <c r="T110"/>
  <c r="AL1"/>
  <c r="V110"/>
  <c r="AN1"/>
  <c r="X110"/>
  <c r="AP1"/>
  <c r="Z110"/>
  <c r="AR1"/>
  <c r="BC1"/>
  <c r="AE110"/>
  <c r="BE1"/>
  <c r="AG110"/>
  <c r="BG1"/>
  <c r="AI110"/>
  <c r="BI1"/>
  <c r="AM1"/>
  <c r="U110"/>
  <c r="AQ1"/>
  <c r="Y110"/>
  <c r="BD1"/>
  <c r="AF110"/>
  <c r="BH1"/>
  <c r="BB100" l="1"/>
  <c r="BB96"/>
  <c r="BB92"/>
  <c r="BB88"/>
  <c r="BB84"/>
  <c r="BB80"/>
  <c r="BB76"/>
  <c r="BB72"/>
  <c r="BB68"/>
  <c r="BB64"/>
  <c r="BB60"/>
  <c r="BB56"/>
  <c r="BB52"/>
  <c r="BB48"/>
  <c r="BB44"/>
  <c r="BB98"/>
  <c r="BB94"/>
  <c r="BB90"/>
  <c r="BB86"/>
  <c r="BB82"/>
  <c r="BB78"/>
  <c r="BB74"/>
  <c r="BB70"/>
  <c r="BB66"/>
  <c r="BB62"/>
  <c r="BB58"/>
  <c r="BB54"/>
  <c r="BB50"/>
  <c r="BB46"/>
  <c r="BB42"/>
  <c r="BB40"/>
  <c r="BB38"/>
  <c r="BB36"/>
  <c r="BB34"/>
  <c r="BB32"/>
  <c r="BB30"/>
  <c r="BB28"/>
  <c r="BB26"/>
  <c r="BB24"/>
  <c r="BB22"/>
  <c r="BB20"/>
  <c r="BB18"/>
  <c r="BB16"/>
  <c r="BB14"/>
  <c r="BB12"/>
  <c r="BB10"/>
  <c r="BB8"/>
  <c r="BB6"/>
  <c r="BB4"/>
  <c r="BB3"/>
  <c r="BK100"/>
  <c r="BO100" s="1"/>
  <c r="BQ100" s="1"/>
  <c r="BK98"/>
  <c r="BO98" s="1"/>
  <c r="BQ98" s="1"/>
  <c r="BK96"/>
  <c r="BO96" s="1"/>
  <c r="BQ96" s="1"/>
  <c r="BK94"/>
  <c r="BO94" s="1"/>
  <c r="BQ94" s="1"/>
  <c r="BK92"/>
  <c r="BO92" s="1"/>
  <c r="BQ92" s="1"/>
  <c r="BK90"/>
  <c r="BO90" s="1"/>
  <c r="BQ90" s="1"/>
  <c r="BK88"/>
  <c r="BO88" s="1"/>
  <c r="BQ88" s="1"/>
  <c r="BK86"/>
  <c r="BO86" s="1"/>
  <c r="BQ86" s="1"/>
  <c r="BK84"/>
  <c r="BO84" s="1"/>
  <c r="BQ84" s="1"/>
  <c r="BK82"/>
  <c r="BO82" s="1"/>
  <c r="BQ82" s="1"/>
  <c r="BK80"/>
  <c r="BO80" s="1"/>
  <c r="BQ80" s="1"/>
  <c r="BK78"/>
  <c r="BO78" s="1"/>
  <c r="BQ78" s="1"/>
  <c r="BK76"/>
  <c r="BO76" s="1"/>
  <c r="BQ76" s="1"/>
  <c r="BK74"/>
  <c r="BO74" s="1"/>
  <c r="BQ74" s="1"/>
  <c r="BK72"/>
  <c r="BO72" s="1"/>
  <c r="BQ72" s="1"/>
  <c r="BK70"/>
  <c r="BO70" s="1"/>
  <c r="BQ70" s="1"/>
  <c r="BK68"/>
  <c r="BO68" s="1"/>
  <c r="BQ68" s="1"/>
  <c r="BK66"/>
  <c r="BO66" s="1"/>
  <c r="BQ66" s="1"/>
  <c r="BK64"/>
  <c r="BO64" s="1"/>
  <c r="BQ64" s="1"/>
  <c r="BK62"/>
  <c r="BO62" s="1"/>
  <c r="BQ62" s="1"/>
  <c r="BK60"/>
  <c r="BO60" s="1"/>
  <c r="BQ60" s="1"/>
  <c r="BK58"/>
  <c r="BO58" s="1"/>
  <c r="BQ58" s="1"/>
  <c r="BK56"/>
  <c r="BO56" s="1"/>
  <c r="BQ56" s="1"/>
  <c r="BK54"/>
  <c r="BO54" s="1"/>
  <c r="BQ54" s="1"/>
  <c r="BK52"/>
  <c r="BO52" s="1"/>
  <c r="BQ52" s="1"/>
  <c r="BK50"/>
  <c r="BO50" s="1"/>
  <c r="BQ50" s="1"/>
  <c r="BK48"/>
  <c r="BO48" s="1"/>
  <c r="BQ48" s="1"/>
  <c r="BK46"/>
  <c r="BO46" s="1"/>
  <c r="BQ46" s="1"/>
  <c r="AT48"/>
  <c r="AX48" s="1"/>
  <c r="AZ48" s="1"/>
  <c r="AT46"/>
  <c r="AX46" s="1"/>
  <c r="AZ46" s="1"/>
  <c r="AT44"/>
  <c r="AX44" s="1"/>
  <c r="AZ44" s="1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2"/>
  <c r="BO42" s="1"/>
  <c r="BQ42" s="1"/>
  <c r="BK40"/>
  <c r="BO40" s="1"/>
  <c r="BQ40" s="1"/>
  <c r="BK38"/>
  <c r="BO38" s="1"/>
  <c r="BQ38" s="1"/>
  <c r="BK36"/>
  <c r="BO36" s="1"/>
  <c r="BQ36" s="1"/>
  <c r="BK34"/>
  <c r="BO34" s="1"/>
  <c r="BQ34" s="1"/>
  <c r="BK32"/>
  <c r="BO32" s="1"/>
  <c r="BQ32" s="1"/>
  <c r="BK30"/>
  <c r="BO30" s="1"/>
  <c r="BQ30" s="1"/>
  <c r="BK28"/>
  <c r="BO28" s="1"/>
  <c r="BQ28" s="1"/>
  <c r="BK26"/>
  <c r="BO26" s="1"/>
  <c r="BQ26" s="1"/>
  <c r="BK24"/>
  <c r="BO24" s="1"/>
  <c r="BQ24" s="1"/>
  <c r="BK22"/>
  <c r="BO22" s="1"/>
  <c r="BQ22" s="1"/>
  <c r="BK20"/>
  <c r="BO20" s="1"/>
  <c r="BQ20" s="1"/>
  <c r="BK18"/>
  <c r="BO18" s="1"/>
  <c r="BQ18" s="1"/>
  <c r="BK16"/>
  <c r="BO16" s="1"/>
  <c r="BQ16" s="1"/>
  <c r="BK14"/>
  <c r="BO14" s="1"/>
  <c r="BQ14" s="1"/>
  <c r="BK12"/>
  <c r="BO12" s="1"/>
  <c r="BQ12" s="1"/>
  <c r="BK10"/>
  <c r="BO10" s="1"/>
  <c r="BQ10" s="1"/>
  <c r="BK8"/>
  <c r="BO8" s="1"/>
  <c r="BQ8" s="1"/>
  <c r="BK6"/>
  <c r="BO6" s="1"/>
  <c r="BQ6" s="1"/>
  <c r="BK4"/>
  <c r="BO4" s="1"/>
  <c r="BQ4" s="1"/>
  <c r="BK3"/>
  <c r="BO3" s="1"/>
  <c r="BQ3" s="1"/>
  <c r="AT100"/>
  <c r="AX100" s="1"/>
  <c r="AZ100" s="1"/>
  <c r="AT98"/>
  <c r="AX98" s="1"/>
  <c r="AZ98" s="1"/>
  <c r="AT96"/>
  <c r="AX96" s="1"/>
  <c r="AZ96" s="1"/>
  <c r="AT94"/>
  <c r="AX94" s="1"/>
  <c r="AZ94" s="1"/>
  <c r="AT92"/>
  <c r="AX92" s="1"/>
  <c r="AZ92" s="1"/>
  <c r="AT90"/>
  <c r="AX90" s="1"/>
  <c r="AZ90" s="1"/>
  <c r="AT88"/>
  <c r="AX88" s="1"/>
  <c r="AZ88" s="1"/>
  <c r="AT86"/>
  <c r="AX86" s="1"/>
  <c r="AZ86" s="1"/>
  <c r="AT84"/>
  <c r="AX84" s="1"/>
  <c r="AZ84" s="1"/>
  <c r="AT82"/>
  <c r="AX82" s="1"/>
  <c r="AZ82" s="1"/>
  <c r="AT80"/>
  <c r="AX80" s="1"/>
  <c r="AZ80" s="1"/>
  <c r="AT78"/>
  <c r="AX78" s="1"/>
  <c r="AZ78" s="1"/>
  <c r="AT76"/>
  <c r="AX76" s="1"/>
  <c r="AZ76" s="1"/>
  <c r="AT74"/>
  <c r="AX74" s="1"/>
  <c r="AZ74" s="1"/>
  <c r="AT72"/>
  <c r="AX72" s="1"/>
  <c r="AZ72" s="1"/>
  <c r="AT70"/>
  <c r="AX70" s="1"/>
  <c r="AZ70" s="1"/>
  <c r="AT68"/>
  <c r="AX68" s="1"/>
  <c r="AZ68" s="1"/>
  <c r="AT66"/>
  <c r="AX66" s="1"/>
  <c r="AZ66" s="1"/>
  <c r="AT64"/>
  <c r="AX64" s="1"/>
  <c r="AZ64" s="1"/>
  <c r="AT62"/>
  <c r="AX62" s="1"/>
  <c r="AZ62" s="1"/>
  <c r="AT60"/>
  <c r="AX60" s="1"/>
  <c r="AZ60" s="1"/>
  <c r="AT58"/>
  <c r="AX58" s="1"/>
  <c r="AZ58" s="1"/>
  <c r="AT56"/>
  <c r="AX56" s="1"/>
  <c r="AZ56" s="1"/>
  <c r="AT54"/>
  <c r="AX54" s="1"/>
  <c r="AZ54" s="1"/>
  <c r="AT52"/>
  <c r="AX52" s="1"/>
  <c r="AZ52" s="1"/>
  <c r="AT50"/>
  <c r="AX50" s="1"/>
  <c r="AZ50" s="1"/>
  <c r="AT5"/>
  <c r="AX5" s="1"/>
  <c r="AZ5" s="1"/>
  <c r="AT3"/>
  <c r="AX3" s="1"/>
  <c r="AZ3" s="1"/>
  <c r="BB1"/>
  <c r="AT1"/>
  <c r="AX1" s="1"/>
  <c r="AZ1" s="1"/>
  <c r="AD110"/>
  <c r="AB110"/>
  <c r="BK1" l="1"/>
  <c r="BO1"/>
  <c r="BQ1" s="1"/>
</calcChain>
</file>

<file path=xl/sharedStrings.xml><?xml version="1.0" encoding="utf-8"?>
<sst xmlns="http://schemas.openxmlformats.org/spreadsheetml/2006/main" count="491" uniqueCount="209">
  <si>
    <t>FF</t>
  </si>
  <si>
    <t>6D</t>
  </si>
  <si>
    <t>A9</t>
  </si>
  <si>
    <t>9D</t>
  </si>
  <si>
    <t>3A</t>
  </si>
  <si>
    <t>DATA</t>
  </si>
  <si>
    <t>3A50</t>
  </si>
  <si>
    <t>CF</t>
  </si>
  <si>
    <t>A2</t>
  </si>
  <si>
    <t>EB</t>
  </si>
  <si>
    <t>3A60</t>
  </si>
  <si>
    <t>F6</t>
  </si>
  <si>
    <t>3A70</t>
  </si>
  <si>
    <t>3A30</t>
  </si>
  <si>
    <t>C8</t>
  </si>
  <si>
    <t>3A90</t>
  </si>
  <si>
    <t>E5</t>
  </si>
  <si>
    <t>3AA0</t>
  </si>
  <si>
    <t>F3</t>
  </si>
  <si>
    <t>3AB0</t>
  </si>
  <si>
    <t>0D</t>
  </si>
  <si>
    <t>3AC0</t>
  </si>
  <si>
    <t>C9</t>
  </si>
  <si>
    <t>CE</t>
  </si>
  <si>
    <t>3AD0</t>
  </si>
  <si>
    <t>D8</t>
  </si>
  <si>
    <t>EE</t>
  </si>
  <si>
    <t>8D</t>
  </si>
  <si>
    <t>3AE0</t>
  </si>
  <si>
    <t>9B</t>
  </si>
  <si>
    <t>2B</t>
  </si>
  <si>
    <t>3AF0</t>
  </si>
  <si>
    <t>3B00</t>
  </si>
  <si>
    <t>7D</t>
  </si>
  <si>
    <t>3B10</t>
  </si>
  <si>
    <t>F0</t>
  </si>
  <si>
    <t>3B20</t>
  </si>
  <si>
    <t>6E</t>
  </si>
  <si>
    <t>3B30</t>
  </si>
  <si>
    <t>FE</t>
  </si>
  <si>
    <t>BC</t>
  </si>
  <si>
    <t>AB</t>
  </si>
  <si>
    <t>3B40</t>
  </si>
  <si>
    <t>8F</t>
  </si>
  <si>
    <t>3B</t>
  </si>
  <si>
    <t>=S1</t>
  </si>
  <si>
    <t>=S2</t>
  </si>
  <si>
    <t>=S3</t>
  </si>
  <si>
    <t>=S4</t>
  </si>
  <si>
    <t>=S5</t>
  </si>
  <si>
    <t>=S6</t>
  </si>
  <si>
    <t>=S7</t>
  </si>
  <si>
    <t>=S8</t>
  </si>
  <si>
    <t>=S9</t>
  </si>
  <si>
    <t>=S10</t>
  </si>
  <si>
    <t>=S11</t>
  </si>
  <si>
    <t>=S12</t>
  </si>
  <si>
    <t>=S13</t>
  </si>
  <si>
    <t>=S14</t>
  </si>
  <si>
    <t>=S15</t>
  </si>
  <si>
    <t>=S16</t>
  </si>
  <si>
    <t>=S17</t>
  </si>
  <si>
    <t>=S18</t>
  </si>
  <si>
    <t>=S19</t>
  </si>
  <si>
    <t>=S20</t>
  </si>
  <si>
    <t>=S21</t>
  </si>
  <si>
    <t>=S22</t>
  </si>
  <si>
    <t>=S23</t>
  </si>
  <si>
    <t>=S24</t>
  </si>
  <si>
    <t>=S25</t>
  </si>
  <si>
    <t>=S26</t>
  </si>
  <si>
    <t>=S27</t>
  </si>
  <si>
    <t>=S28</t>
  </si>
  <si>
    <t>=S29</t>
  </si>
  <si>
    <t>=S30</t>
  </si>
  <si>
    <t>=S31</t>
  </si>
  <si>
    <t>=S32</t>
  </si>
  <si>
    <t>=S33</t>
  </si>
  <si>
    <t>=S34</t>
  </si>
  <si>
    <t>=S35</t>
  </si>
  <si>
    <t>=S36</t>
  </si>
  <si>
    <t>=S37</t>
  </si>
  <si>
    <t>=S38</t>
  </si>
  <si>
    <t>=S39</t>
  </si>
  <si>
    <t>=S40</t>
  </si>
  <si>
    <t>=S41</t>
  </si>
  <si>
    <t>=S42</t>
  </si>
  <si>
    <t>=S43</t>
  </si>
  <si>
    <t>=S44</t>
  </si>
  <si>
    <t>=S45</t>
  </si>
  <si>
    <t>=S46</t>
  </si>
  <si>
    <t>=S47</t>
  </si>
  <si>
    <t>=S48</t>
  </si>
  <si>
    <t>=S49</t>
  </si>
  <si>
    <t>=S50</t>
  </si>
  <si>
    <t>=S51</t>
  </si>
  <si>
    <t>=S52</t>
  </si>
  <si>
    <t>=S53</t>
  </si>
  <si>
    <t>=S54</t>
  </si>
  <si>
    <t>=S55</t>
  </si>
  <si>
    <t>=S56</t>
  </si>
  <si>
    <t>=S57</t>
  </si>
  <si>
    <t>=S58</t>
  </si>
  <si>
    <t>=S59</t>
  </si>
  <si>
    <t>=S60</t>
  </si>
  <si>
    <t>=S61</t>
  </si>
  <si>
    <t>=S62</t>
  </si>
  <si>
    <t>=S63</t>
  </si>
  <si>
    <t>=S64</t>
  </si>
  <si>
    <t>=S65</t>
  </si>
  <si>
    <t>=S66</t>
  </si>
  <si>
    <t>=S67</t>
  </si>
  <si>
    <t>=S68</t>
  </si>
  <si>
    <t>=S69</t>
  </si>
  <si>
    <t>=S70</t>
  </si>
  <si>
    <t>=S71</t>
  </si>
  <si>
    <t>=S72</t>
  </si>
  <si>
    <t>=S73</t>
  </si>
  <si>
    <t>=S74</t>
  </si>
  <si>
    <t>=S75</t>
  </si>
  <si>
    <t>=S76</t>
  </si>
  <si>
    <t>=S77</t>
  </si>
  <si>
    <t>=S78</t>
  </si>
  <si>
    <t>=S79</t>
  </si>
  <si>
    <t>=S80</t>
  </si>
  <si>
    <t>=S81</t>
  </si>
  <si>
    <t>=S82</t>
  </si>
  <si>
    <t>=S83</t>
  </si>
  <si>
    <t>=S84</t>
  </si>
  <si>
    <t>=S85</t>
  </si>
  <si>
    <t>=S86</t>
  </si>
  <si>
    <t>=S87</t>
  </si>
  <si>
    <t>=S88</t>
  </si>
  <si>
    <t>=S89</t>
  </si>
  <si>
    <t>=S90</t>
  </si>
  <si>
    <t>=S91</t>
  </si>
  <si>
    <t>=S92</t>
  </si>
  <si>
    <t>=S93</t>
  </si>
  <si>
    <t>=S94</t>
  </si>
  <si>
    <t>=S95</t>
  </si>
  <si>
    <t>=S96</t>
  </si>
  <si>
    <t>=S97</t>
  </si>
  <si>
    <t>=S98</t>
  </si>
  <si>
    <t>=S99</t>
  </si>
  <si>
    <t>E1</t>
  </si>
  <si>
    <t>1700 DATA 14928,32,207,57,162,2,169,4,96,15657</t>
  </si>
  <si>
    <t>1702 DATA 14944,169,6,96,32,80,58,32,246,15663</t>
  </si>
  <si>
    <t>1704 DATA 14960,32,64,52,162,0,169,1,96,15536</t>
  </si>
  <si>
    <t>1706 DATA 14896,64,52,169,36,32,64,52,32,15397</t>
  </si>
  <si>
    <t>1708 DATA 14992,225,57,32,80,58,32,229,57,15762</t>
  </si>
  <si>
    <t>1710 DATA 15008,32,243,58,32,229,57,162,1,15822</t>
  </si>
  <si>
    <t>1712 DATA 15024,58,32,229,57,32,246,57,162,15897</t>
  </si>
  <si>
    <t>1714 DATA 15040,18,53,32,149,50,72,32,13,15459</t>
  </si>
  <si>
    <t>1716 DATA 15056,50,8,216,24,109,5,50,144,15662</t>
  </si>
  <si>
    <t>1718 DATA 15072,32,155,53,32,43,53,162,1,15603</t>
  </si>
  <si>
    <t>1720 DATA 15088,169,2,96,32,235,58,32,235,15947</t>
  </si>
  <si>
    <t>1722 DATA 15104,58,32,246,57,162,1,169,4,15833</t>
  </si>
  <si>
    <t>1724 DATA 15120,48,13,32,149,50,201,255,240,16108</t>
  </si>
  <si>
    <t>1726 DATA 15136,114,52,32,125,55,96,120,58,15788</t>
  </si>
  <si>
    <t>1728 DATA 15152,254,58,80,58,88,58,99,58,15905</t>
  </si>
  <si>
    <t>1730 DATA 15168,143,58,9,59,0,0,0,0,15437</t>
  </si>
  <si>
    <t>1701 DATA 14936,32,80,58,32,235,57,162,2,15594</t>
  </si>
  <si>
    <t>1703 DATA 14952,57,162,2,169,6,96,169,65,15678</t>
  </si>
  <si>
    <t>1705 DATA 14968,162,0,169,0,96,169,35,32,15631</t>
  </si>
  <si>
    <t>1707 DATA 14904,200,57,162,1,169,4,96,32,15625</t>
  </si>
  <si>
    <t>1709 DATA 15000,169,6,162,2,96,32,225,57,15749</t>
  </si>
  <si>
    <t>1711 DATA 15016,169,6,96,32,225,57,32,235,15868</t>
  </si>
  <si>
    <t>1713 DATA 15032,1,169,6,96,32,13,51,32,15432</t>
  </si>
  <si>
    <t>1715 DATA 15048,51,104,201,0,16,3,206,6,15635</t>
  </si>
  <si>
    <t>1717 DATA 15064,3,238,6,50,141,5,50,40,15597</t>
  </si>
  <si>
    <t>1719 DATA 15080,169,4,96,32,200,57,162,1,15801</t>
  </si>
  <si>
    <t>1721 DATA 15096,57,162,1,169,4,96,32,235,15852</t>
  </si>
  <si>
    <t>1723 DATA 15112,96,104,104,104,104,32,125,55,15836</t>
  </si>
  <si>
    <t>1725 DATA 15128,6,32,64,52,24,144,238,32,15720</t>
  </si>
  <si>
    <t>1727 DATA 15144,110,58,125,58,235,58,243,58,16089</t>
  </si>
  <si>
    <t>1729 DATA 15160,120,58,188,58,157,58,171,58,16028</t>
  </si>
  <si>
    <t>1731 DATA 15176,0,0,0,0,0,0,0,0,15176</t>
  </si>
  <si>
    <t>1600 DATA 14928,32,207,57,162,2,169,4,96,15657</t>
  </si>
  <si>
    <t>1602 DATA 14944,169,6,96,32,80,58,32,246,15663</t>
  </si>
  <si>
    <t>1604 DATA 14960,32,64,52,162,0,169,1,96,15536</t>
  </si>
  <si>
    <t>1606 DATA 14896,64,52,169,36,32,64,52,32,15397</t>
  </si>
  <si>
    <t>1608 DATA 14992,225,57,32,80,58,32,229,57,15762</t>
  </si>
  <si>
    <t>1610 DATA 15008,32,243,58,32,229,57,162,1,15822</t>
  </si>
  <si>
    <t>1612 DATA 15024,58,32,229,57,32,246,57,162,15897</t>
  </si>
  <si>
    <t>1614 DATA 15040,18,53,32,149,50,72,32,13,15459</t>
  </si>
  <si>
    <t>1616 DATA 15056,50,8,216,24,109,5,50,144,15662</t>
  </si>
  <si>
    <t>1618 DATA 15072,32,155,53,32,43,53,162,1,15603</t>
  </si>
  <si>
    <t>1620 DATA 15088,169,2,96,32,235,58,32,235,15947</t>
  </si>
  <si>
    <t>1622 DATA 15104,58,32,246,57,162,1,169,4,15833</t>
  </si>
  <si>
    <t>1624 DATA 15120,48,13,32,149,50,201,255,240,16108</t>
  </si>
  <si>
    <t>1626 DATA 15136,114,52,32,125,55,96,120,58,15788</t>
  </si>
  <si>
    <t>1628 DATA 15152,254,58,80,58,88,58,99,58,15905</t>
  </si>
  <si>
    <t>1630 DATA 15168,143,58,9,59,0,0,0,0,15437</t>
  </si>
  <si>
    <t>1601 DATA 14936,32,80,58,32,235,57,162,2,15594</t>
  </si>
  <si>
    <t>1603 DATA 14952,57,162,2,169,6,96,169,65,15678</t>
  </si>
  <si>
    <t>1605 DATA 14968,162,0,169,0,96,169,35,32,15631</t>
  </si>
  <si>
    <t>1607 DATA 14904,200,57,162,1,169,4,96,32,15625</t>
  </si>
  <si>
    <t>1609 DATA 15000,169,6,162,2,96,32,225,57,15749</t>
  </si>
  <si>
    <t>1611 DATA 15016,169,6,96,32,225,57,32,235,15868</t>
  </si>
  <si>
    <t>1613 DATA 15032,1,169,6,96,32,13,51,32,15432</t>
  </si>
  <si>
    <t>1615 DATA 15048,51,104,201,0,16,3,206,6,15635</t>
  </si>
  <si>
    <t>1617 DATA 15064,3,238,6,50,141,5,50,40,15597</t>
  </si>
  <si>
    <t>1619 DATA 15080,169,4,96,32,200,57,162,1,15801</t>
  </si>
  <si>
    <t>1621 DATA 15096,57,162,1,169,4,96,32,235,15852</t>
  </si>
  <si>
    <t>1623 DATA 15112,96,104,104,104,104,32,125,55,15836</t>
  </si>
  <si>
    <t>1625 DATA 15128,6,32,64,52,24,144,238,32,15720</t>
  </si>
  <si>
    <t>1627 DATA 15144,110,58,125,58,235,58,243,58,16089</t>
  </si>
  <si>
    <t>1629 DATA 15160,120,58,188,58,157,58,171,58,16028</t>
  </si>
  <si>
    <t>1631 DATA 15176,0,0,0,0,0,0,0,0,15176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</si>
</sst>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  <xf numFmtId="49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V209"/>
  <sheetViews>
    <sheetView topLeftCell="BC1" workbookViewId="0">
      <selection activeCell="BT17" sqref="BT17:BT32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7" width="4.7109375" customWidth="1"/>
    <col min="28" max="28" width="6" bestFit="1" customWidth="1"/>
    <col min="29" max="29" width="4.7109375" customWidth="1"/>
    <col min="30" max="30" width="6" bestFit="1" customWidth="1"/>
    <col min="31" max="31" width="4.7109375" customWidth="1"/>
    <col min="32" max="32" width="7.140625" bestFit="1" customWidth="1"/>
    <col min="33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4">
      <c r="A1" s="35" t="s">
        <v>6</v>
      </c>
      <c r="B1" s="3">
        <v>20</v>
      </c>
      <c r="C1" s="3" t="s">
        <v>7</v>
      </c>
      <c r="D1" s="3">
        <v>39</v>
      </c>
      <c r="E1" s="3" t="s">
        <v>8</v>
      </c>
      <c r="F1" s="3">
        <v>2</v>
      </c>
      <c r="G1" s="3" t="s">
        <v>2</v>
      </c>
      <c r="H1" s="3">
        <v>4</v>
      </c>
      <c r="I1" s="3">
        <v>60</v>
      </c>
      <c r="J1" s="3">
        <v>20</v>
      </c>
      <c r="K1" s="3">
        <v>50</v>
      </c>
      <c r="L1" s="3" t="s">
        <v>4</v>
      </c>
      <c r="M1" s="3">
        <v>20</v>
      </c>
      <c r="N1" s="3" t="s">
        <v>9</v>
      </c>
      <c r="O1" s="3">
        <v>39</v>
      </c>
      <c r="P1" s="3" t="s">
        <v>8</v>
      </c>
      <c r="Q1" s="3">
        <v>2</v>
      </c>
      <c r="S1" s="10">
        <f>HEX2DEC(A1)</f>
        <v>14928</v>
      </c>
      <c r="T1" s="13">
        <f t="shared" ref="T1:T43" si="0">HEX2DEC(B1)</f>
        <v>32</v>
      </c>
      <c r="U1" s="14">
        <f t="shared" ref="U1:U43" si="1">HEX2DEC(C1)</f>
        <v>207</v>
      </c>
      <c r="V1" s="14">
        <f t="shared" ref="V1:V43" si="2">HEX2DEC(D1)</f>
        <v>57</v>
      </c>
      <c r="W1" s="14">
        <f t="shared" ref="W1:W43" si="3">HEX2DEC(E1)</f>
        <v>162</v>
      </c>
      <c r="X1" s="14">
        <f t="shared" ref="X1:X43" si="4">HEX2DEC(F1)</f>
        <v>2</v>
      </c>
      <c r="Y1" s="14">
        <f t="shared" ref="Y1:Y43" si="5">HEX2DEC(G1)</f>
        <v>169</v>
      </c>
      <c r="Z1" s="14">
        <f t="shared" ref="Z1:Z43" si="6">HEX2DEC(H1)</f>
        <v>4</v>
      </c>
      <c r="AA1" s="15">
        <f t="shared" ref="AA1:AA43" si="7">HEX2DEC(I1)</f>
        <v>96</v>
      </c>
      <c r="AB1" s="22">
        <f t="shared" ref="AB1:AB43" si="8">HEX2DEC(J1)</f>
        <v>32</v>
      </c>
      <c r="AC1" s="23">
        <f t="shared" ref="AC1:AC43" si="9">HEX2DEC(K1)</f>
        <v>80</v>
      </c>
      <c r="AD1" s="23">
        <f t="shared" ref="AD1:AD43" si="10">HEX2DEC(L1)</f>
        <v>58</v>
      </c>
      <c r="AE1" s="23">
        <f t="shared" ref="AE1:AE43" si="11">HEX2DEC(M1)</f>
        <v>32</v>
      </c>
      <c r="AF1" s="23">
        <f t="shared" ref="AF1:AF43" si="12">HEX2DEC(N1)</f>
        <v>235</v>
      </c>
      <c r="AG1" s="23">
        <f t="shared" ref="AG1:AG43" si="13">HEX2DEC(O1)</f>
        <v>57</v>
      </c>
      <c r="AH1" s="23">
        <f t="shared" ref="AH1:AH43" si="14">HEX2DEC(P1)</f>
        <v>162</v>
      </c>
      <c r="AI1" s="24">
        <f t="shared" ref="AI1:AI43" si="15">HEX2DEC(Q1)</f>
        <v>2</v>
      </c>
      <c r="AJ1" s="31"/>
      <c r="AK1" s="33">
        <f t="shared" ref="AK1:AS1" si="16">S1</f>
        <v>14928</v>
      </c>
      <c r="AL1" s="17">
        <f t="shared" si="16"/>
        <v>32</v>
      </c>
      <c r="AM1" s="17">
        <f t="shared" si="16"/>
        <v>207</v>
      </c>
      <c r="AN1" s="17">
        <f t="shared" si="16"/>
        <v>57</v>
      </c>
      <c r="AO1" s="17">
        <f t="shared" si="16"/>
        <v>162</v>
      </c>
      <c r="AP1" s="17">
        <f t="shared" si="16"/>
        <v>2</v>
      </c>
      <c r="AQ1" s="17">
        <f t="shared" si="16"/>
        <v>169</v>
      </c>
      <c r="AR1" s="17">
        <f t="shared" si="16"/>
        <v>4</v>
      </c>
      <c r="AS1" s="17">
        <f t="shared" si="16"/>
        <v>96</v>
      </c>
      <c r="AT1" s="34">
        <f>SUM(AK1:AS1)</f>
        <v>15657</v>
      </c>
      <c r="AU1" s="31"/>
      <c r="AV1">
        <v>1600</v>
      </c>
      <c r="AW1" t="s">
        <v>5</v>
      </c>
      <c r="AX1" s="8" t="str">
        <f>AK1&amp;","&amp;AL1&amp;","&amp;AM1&amp;","&amp;AN1&amp;","&amp;AO1&amp;","&amp;AP1&amp;","&amp;AQ1&amp;","&amp;AR1&amp;","&amp;AS1&amp;","&amp;AT1</f>
        <v>14928,32,207,57,162,2,169,4,96,15657</v>
      </c>
      <c r="AY1" s="31"/>
      <c r="AZ1" s="9" t="str">
        <f>AV1&amp;" "&amp;AW1&amp;" "&amp;AX1</f>
        <v>1600 DATA 14928,32,207,57,162,2,169,4,96,15657</v>
      </c>
      <c r="BA1" s="31"/>
      <c r="BB1" s="33">
        <f>AK1+8</f>
        <v>14936</v>
      </c>
      <c r="BC1" s="26">
        <f t="shared" ref="BC1:BJ1" si="17">AB1</f>
        <v>32</v>
      </c>
      <c r="BD1" s="26">
        <f t="shared" si="17"/>
        <v>80</v>
      </c>
      <c r="BE1" s="26">
        <f t="shared" si="17"/>
        <v>58</v>
      </c>
      <c r="BF1" s="26">
        <f t="shared" si="17"/>
        <v>32</v>
      </c>
      <c r="BG1" s="26">
        <f t="shared" si="17"/>
        <v>235</v>
      </c>
      <c r="BH1" s="26">
        <f t="shared" si="17"/>
        <v>57</v>
      </c>
      <c r="BI1" s="26">
        <f t="shared" si="17"/>
        <v>162</v>
      </c>
      <c r="BJ1" s="26">
        <f t="shared" si="17"/>
        <v>2</v>
      </c>
      <c r="BK1" s="34">
        <f>SUM(BB1:BJ1)</f>
        <v>15594</v>
      </c>
      <c r="BL1" s="31"/>
      <c r="BM1">
        <f>AV1+1</f>
        <v>1601</v>
      </c>
      <c r="BN1" t="s">
        <v>5</v>
      </c>
      <c r="BO1" s="8" t="str">
        <f>BB1&amp;","&amp;BC1&amp;","&amp;BD1&amp;","&amp;BE1&amp;","&amp;BF1&amp;","&amp;BG1&amp;","&amp;BH1&amp;","&amp;BI1&amp;","&amp;BJ1&amp;","&amp;BK1</f>
        <v>14936,32,80,58,32,235,57,162,2,15594</v>
      </c>
      <c r="BP1"/>
      <c r="BQ1" s="9" t="str">
        <f>BM1&amp;" "&amp;BN1&amp;" "&amp;BO1</f>
        <v>1601 DATA 14936,32,80,58,32,235,57,162,2,15594</v>
      </c>
      <c r="BR1" s="31"/>
      <c r="BS1" s="31"/>
      <c r="BT1" t="s">
        <v>177</v>
      </c>
      <c r="BU1" t="s">
        <v>5</v>
      </c>
      <c r="BV1" s="8" t="str">
        <f>BI1&amp;","&amp;BJ1&amp;","&amp;BK1&amp;","&amp;BL1&amp;","&amp;BM1&amp;","&amp;BN1&amp;","&amp;BO1&amp;","&amp;BP1&amp;","&amp;BQ1&amp;","&amp;BR1</f>
        <v>162,2,15594,,1601,DATA,14936,32,80,58,32,235,57,162,2,15594,,1601 DATA 14936,32,80,58,32,235,57,162,2,15594,</v>
      </c>
    </row>
    <row r="2" spans="1:74">
      <c r="A2" s="1" t="s">
        <v>10</v>
      </c>
      <c r="B2" s="3" t="s">
        <v>2</v>
      </c>
      <c r="C2" s="3">
        <v>6</v>
      </c>
      <c r="D2" s="3">
        <v>60</v>
      </c>
      <c r="E2" s="3">
        <v>20</v>
      </c>
      <c r="F2" s="3">
        <v>50</v>
      </c>
      <c r="G2" s="3" t="s">
        <v>4</v>
      </c>
      <c r="H2" s="3">
        <v>20</v>
      </c>
      <c r="I2" s="3" t="s">
        <v>11</v>
      </c>
      <c r="J2" s="3">
        <v>39</v>
      </c>
      <c r="K2" s="3" t="s">
        <v>8</v>
      </c>
      <c r="L2" s="3">
        <v>2</v>
      </c>
      <c r="M2" s="3" t="s">
        <v>2</v>
      </c>
      <c r="N2" s="3">
        <v>6</v>
      </c>
      <c r="O2" s="3">
        <v>60</v>
      </c>
      <c r="P2" s="3" t="s">
        <v>2</v>
      </c>
      <c r="Q2" s="3">
        <v>41</v>
      </c>
      <c r="S2" s="11">
        <f t="shared" ref="S2:S43" si="18">HEX2DEC(A2)</f>
        <v>14944</v>
      </c>
      <c r="T2" s="16">
        <f t="shared" si="0"/>
        <v>169</v>
      </c>
      <c r="U2" s="17">
        <f t="shared" si="1"/>
        <v>6</v>
      </c>
      <c r="V2" s="17">
        <f t="shared" si="2"/>
        <v>96</v>
      </c>
      <c r="W2" s="17">
        <f t="shared" si="3"/>
        <v>32</v>
      </c>
      <c r="X2" s="17">
        <f t="shared" si="4"/>
        <v>80</v>
      </c>
      <c r="Y2" s="17">
        <f t="shared" si="5"/>
        <v>58</v>
      </c>
      <c r="Z2" s="17">
        <f t="shared" si="6"/>
        <v>32</v>
      </c>
      <c r="AA2" s="18">
        <f t="shared" si="7"/>
        <v>246</v>
      </c>
      <c r="AB2" s="25">
        <f t="shared" si="8"/>
        <v>57</v>
      </c>
      <c r="AC2" s="26">
        <f t="shared" si="9"/>
        <v>162</v>
      </c>
      <c r="AD2" s="26">
        <f t="shared" si="10"/>
        <v>2</v>
      </c>
      <c r="AE2" s="26">
        <f t="shared" si="11"/>
        <v>169</v>
      </c>
      <c r="AF2" s="26">
        <f t="shared" si="12"/>
        <v>6</v>
      </c>
      <c r="AG2" s="26">
        <f t="shared" si="13"/>
        <v>96</v>
      </c>
      <c r="AH2" s="26">
        <f t="shared" si="14"/>
        <v>169</v>
      </c>
      <c r="AI2" s="27">
        <f t="shared" si="15"/>
        <v>65</v>
      </c>
      <c r="AJ2" s="31"/>
      <c r="AK2" s="33">
        <f t="shared" ref="AK2:AK65" si="19">S2</f>
        <v>14944</v>
      </c>
      <c r="AL2" s="17">
        <f t="shared" ref="AL2:AL65" si="20">T2</f>
        <v>169</v>
      </c>
      <c r="AM2" s="17">
        <f t="shared" ref="AM2:AM65" si="21">U2</f>
        <v>6</v>
      </c>
      <c r="AN2" s="17">
        <f t="shared" ref="AN2:AN65" si="22">V2</f>
        <v>96</v>
      </c>
      <c r="AO2" s="17">
        <f t="shared" ref="AO2:AO65" si="23">W2</f>
        <v>32</v>
      </c>
      <c r="AP2" s="17">
        <f t="shared" ref="AP2:AP65" si="24">X2</f>
        <v>80</v>
      </c>
      <c r="AQ2" s="17">
        <f t="shared" ref="AQ2:AQ65" si="25">Y2</f>
        <v>58</v>
      </c>
      <c r="AR2" s="17">
        <f t="shared" ref="AR2:AR65" si="26">Z2</f>
        <v>32</v>
      </c>
      <c r="AS2" s="17">
        <f t="shared" ref="AS2:AS65" si="27">AA2</f>
        <v>246</v>
      </c>
      <c r="AT2" s="34">
        <f t="shared" ref="AT2:AT65" si="28">SUM(AK2:AS2)</f>
        <v>15663</v>
      </c>
      <c r="AU2" s="31"/>
      <c r="AV2">
        <f>AV1+2</f>
        <v>1602</v>
      </c>
      <c r="AW2" t="s">
        <v>5</v>
      </c>
      <c r="AX2" s="8" t="str">
        <f t="shared" ref="AX2:AX65" si="29">AK2&amp;","&amp;AL2&amp;","&amp;AM2&amp;","&amp;AN2&amp;","&amp;AO2&amp;","&amp;AP2&amp;","&amp;AQ2&amp;","&amp;AR2&amp;","&amp;AS2&amp;","&amp;AT2</f>
        <v>14944,169,6,96,32,80,58,32,246,15663</v>
      </c>
      <c r="AY2" s="31"/>
      <c r="AZ2" s="9" t="str">
        <f t="shared" ref="AZ2:AZ65" si="30">AV2&amp;" "&amp;AW2&amp;" "&amp;AX2</f>
        <v>1602 DATA 14944,169,6,96,32,80,58,32,246,15663</v>
      </c>
      <c r="BA2" s="31"/>
      <c r="BB2" s="33">
        <f t="shared" ref="BB2:BB65" si="31">AK2+8</f>
        <v>14952</v>
      </c>
      <c r="BC2" s="26">
        <f t="shared" ref="BC2:BC65" si="32">AB2</f>
        <v>57</v>
      </c>
      <c r="BD2" s="26">
        <f t="shared" ref="BD2:BD65" si="33">AC2</f>
        <v>162</v>
      </c>
      <c r="BE2" s="26">
        <f t="shared" ref="BE2:BE65" si="34">AD2</f>
        <v>2</v>
      </c>
      <c r="BF2" s="26">
        <f t="shared" ref="BF2:BF65" si="35">AE2</f>
        <v>169</v>
      </c>
      <c r="BG2" s="26">
        <f t="shared" ref="BG2:BG65" si="36">AF2</f>
        <v>6</v>
      </c>
      <c r="BH2" s="26">
        <f t="shared" ref="BH2:BH65" si="37">AG2</f>
        <v>96</v>
      </c>
      <c r="BI2" s="26">
        <f t="shared" ref="BI2:BI65" si="38">AH2</f>
        <v>169</v>
      </c>
      <c r="BJ2" s="26">
        <f t="shared" ref="BJ2:BJ65" si="39">AI2</f>
        <v>65</v>
      </c>
      <c r="BK2" s="34">
        <f t="shared" ref="BK2:BK65" si="40">SUM(BB2:BJ2)</f>
        <v>15678</v>
      </c>
      <c r="BL2" s="31"/>
      <c r="BM2">
        <f>BM1+2</f>
        <v>1603</v>
      </c>
      <c r="BN2" t="s">
        <v>5</v>
      </c>
      <c r="BO2" s="8" t="str">
        <f t="shared" ref="BO2:BO65" si="41">BB2&amp;","&amp;BC2&amp;","&amp;BD2&amp;","&amp;BE2&amp;","&amp;BF2&amp;","&amp;BG2&amp;","&amp;BH2&amp;","&amp;BI2&amp;","&amp;BJ2&amp;","&amp;BK2</f>
        <v>14952,57,162,2,169,6,96,169,65,15678</v>
      </c>
      <c r="BP2"/>
      <c r="BQ2" s="9" t="str">
        <f t="shared" ref="BQ2:BQ65" si="42">BM2&amp;" "&amp;BN2&amp;" "&amp;BO2</f>
        <v>1603 DATA 14952,57,162,2,169,6,96,169,65,15678</v>
      </c>
      <c r="BR2" s="31"/>
      <c r="BS2" s="31"/>
      <c r="BT2" t="s">
        <v>178</v>
      </c>
      <c r="BU2" t="s">
        <v>5</v>
      </c>
      <c r="BV2" s="8" t="str">
        <f t="shared" ref="BV2:BV16" si="43">BI2&amp;","&amp;BJ2&amp;","&amp;BK2&amp;","&amp;BL2&amp;","&amp;BM2&amp;","&amp;BN2&amp;","&amp;BO2&amp;","&amp;BP2&amp;","&amp;BQ2&amp;","&amp;BR2</f>
        <v>169,65,15678,,1603,DATA,14952,57,162,2,169,6,96,169,65,15678,,1603 DATA 14952,57,162,2,169,6,96,169,65,15678,</v>
      </c>
    </row>
    <row r="3" spans="1:74">
      <c r="A3" s="1" t="s">
        <v>12</v>
      </c>
      <c r="B3" s="3">
        <v>20</v>
      </c>
      <c r="C3" s="3">
        <v>40</v>
      </c>
      <c r="D3" s="3">
        <v>34</v>
      </c>
      <c r="E3" s="3" t="s">
        <v>8</v>
      </c>
      <c r="F3" s="3">
        <v>0</v>
      </c>
      <c r="G3" s="3" t="s">
        <v>2</v>
      </c>
      <c r="H3" s="3">
        <v>1</v>
      </c>
      <c r="I3" s="3">
        <v>60</v>
      </c>
      <c r="J3" s="3" t="s">
        <v>8</v>
      </c>
      <c r="K3" s="3">
        <v>0</v>
      </c>
      <c r="L3" s="3" t="s">
        <v>2</v>
      </c>
      <c r="M3" s="3">
        <v>0</v>
      </c>
      <c r="N3" s="3">
        <v>60</v>
      </c>
      <c r="O3" s="3" t="s">
        <v>2</v>
      </c>
      <c r="P3" s="3">
        <v>23</v>
      </c>
      <c r="Q3" s="3">
        <v>20</v>
      </c>
      <c r="S3" s="11">
        <f t="shared" si="18"/>
        <v>14960</v>
      </c>
      <c r="T3" s="16">
        <f t="shared" si="0"/>
        <v>32</v>
      </c>
      <c r="U3" s="17">
        <f t="shared" si="1"/>
        <v>64</v>
      </c>
      <c r="V3" s="17">
        <f t="shared" si="2"/>
        <v>52</v>
      </c>
      <c r="W3" s="17">
        <f t="shared" si="3"/>
        <v>162</v>
      </c>
      <c r="X3" s="17">
        <f t="shared" si="4"/>
        <v>0</v>
      </c>
      <c r="Y3" s="17">
        <f t="shared" si="5"/>
        <v>169</v>
      </c>
      <c r="Z3" s="17">
        <f t="shared" si="6"/>
        <v>1</v>
      </c>
      <c r="AA3" s="18">
        <f t="shared" si="7"/>
        <v>96</v>
      </c>
      <c r="AB3" s="25">
        <f t="shared" si="8"/>
        <v>162</v>
      </c>
      <c r="AC3" s="26">
        <f t="shared" si="9"/>
        <v>0</v>
      </c>
      <c r="AD3" s="26">
        <f t="shared" si="10"/>
        <v>169</v>
      </c>
      <c r="AE3" s="26">
        <f t="shared" si="11"/>
        <v>0</v>
      </c>
      <c r="AF3" s="26">
        <f t="shared" si="12"/>
        <v>96</v>
      </c>
      <c r="AG3" s="26">
        <f t="shared" si="13"/>
        <v>169</v>
      </c>
      <c r="AH3" s="26">
        <f t="shared" si="14"/>
        <v>35</v>
      </c>
      <c r="AI3" s="27">
        <f t="shared" si="15"/>
        <v>32</v>
      </c>
      <c r="AJ3" s="31"/>
      <c r="AK3" s="33">
        <f t="shared" si="19"/>
        <v>14960</v>
      </c>
      <c r="AL3" s="17">
        <f t="shared" si="20"/>
        <v>32</v>
      </c>
      <c r="AM3" s="17">
        <f t="shared" si="21"/>
        <v>64</v>
      </c>
      <c r="AN3" s="17">
        <f t="shared" si="22"/>
        <v>52</v>
      </c>
      <c r="AO3" s="17">
        <f t="shared" si="23"/>
        <v>162</v>
      </c>
      <c r="AP3" s="17">
        <f t="shared" si="24"/>
        <v>0</v>
      </c>
      <c r="AQ3" s="17">
        <f t="shared" si="25"/>
        <v>169</v>
      </c>
      <c r="AR3" s="17">
        <f t="shared" si="26"/>
        <v>1</v>
      </c>
      <c r="AS3" s="17">
        <f t="shared" si="27"/>
        <v>96</v>
      </c>
      <c r="AT3" s="34">
        <f t="shared" si="28"/>
        <v>15536</v>
      </c>
      <c r="AU3" s="31"/>
      <c r="AV3">
        <f t="shared" ref="AV3:AV66" si="44">AV2+2</f>
        <v>1604</v>
      </c>
      <c r="AW3" t="s">
        <v>5</v>
      </c>
      <c r="AX3" s="8" t="str">
        <f t="shared" si="29"/>
        <v>14960,32,64,52,162,0,169,1,96,15536</v>
      </c>
      <c r="AY3" s="31"/>
      <c r="AZ3" s="9" t="str">
        <f t="shared" si="30"/>
        <v>1604 DATA 14960,32,64,52,162,0,169,1,96,15536</v>
      </c>
      <c r="BA3" s="31"/>
      <c r="BB3" s="33">
        <f t="shared" si="31"/>
        <v>14968</v>
      </c>
      <c r="BC3" s="26">
        <f t="shared" si="32"/>
        <v>162</v>
      </c>
      <c r="BD3" s="26">
        <f t="shared" si="33"/>
        <v>0</v>
      </c>
      <c r="BE3" s="26">
        <f t="shared" si="34"/>
        <v>169</v>
      </c>
      <c r="BF3" s="26">
        <f t="shared" si="35"/>
        <v>0</v>
      </c>
      <c r="BG3" s="26">
        <f t="shared" si="36"/>
        <v>96</v>
      </c>
      <c r="BH3" s="26">
        <f t="shared" si="37"/>
        <v>169</v>
      </c>
      <c r="BI3" s="26">
        <f t="shared" si="38"/>
        <v>35</v>
      </c>
      <c r="BJ3" s="26">
        <f t="shared" si="39"/>
        <v>32</v>
      </c>
      <c r="BK3" s="34">
        <f t="shared" si="40"/>
        <v>15631</v>
      </c>
      <c r="BL3" s="31"/>
      <c r="BM3">
        <f t="shared" ref="BM3:BM66" si="45">BM2+2</f>
        <v>1605</v>
      </c>
      <c r="BN3" t="s">
        <v>5</v>
      </c>
      <c r="BO3" s="8" t="str">
        <f t="shared" si="41"/>
        <v>14968,162,0,169,0,96,169,35,32,15631</v>
      </c>
      <c r="BP3"/>
      <c r="BQ3" s="9" t="str">
        <f t="shared" si="42"/>
        <v>1605 DATA 14968,162,0,169,0,96,169,35,32,15631</v>
      </c>
      <c r="BR3" s="31"/>
      <c r="BS3" s="31"/>
      <c r="BT3" t="s">
        <v>179</v>
      </c>
      <c r="BU3" t="s">
        <v>5</v>
      </c>
      <c r="BV3" s="8" t="str">
        <f t="shared" si="43"/>
        <v>35,32,15631,,1605,DATA,14968,162,0,169,0,96,169,35,32,15631,,1605 DATA 14968,162,0,169,0,96,169,35,32,15631,</v>
      </c>
    </row>
    <row r="4" spans="1:74">
      <c r="A4" s="1" t="s">
        <v>13</v>
      </c>
      <c r="B4" s="3">
        <v>40</v>
      </c>
      <c r="C4" s="3">
        <v>34</v>
      </c>
      <c r="D4" s="3" t="s">
        <v>2</v>
      </c>
      <c r="E4" s="3">
        <v>24</v>
      </c>
      <c r="F4" s="3">
        <v>20</v>
      </c>
      <c r="G4" s="3">
        <v>40</v>
      </c>
      <c r="H4" s="3">
        <v>34</v>
      </c>
      <c r="I4" s="3">
        <v>20</v>
      </c>
      <c r="J4" s="3" t="s">
        <v>14</v>
      </c>
      <c r="K4" s="3">
        <v>39</v>
      </c>
      <c r="L4" s="3" t="s">
        <v>8</v>
      </c>
      <c r="M4" s="3">
        <v>1</v>
      </c>
      <c r="N4" s="3" t="s">
        <v>2</v>
      </c>
      <c r="O4" s="3">
        <v>4</v>
      </c>
      <c r="P4" s="3">
        <v>60</v>
      </c>
      <c r="Q4" s="3">
        <v>20</v>
      </c>
      <c r="S4" s="11">
        <f t="shared" si="18"/>
        <v>14896</v>
      </c>
      <c r="T4" s="16">
        <f t="shared" si="0"/>
        <v>64</v>
      </c>
      <c r="U4" s="17">
        <f t="shared" si="1"/>
        <v>52</v>
      </c>
      <c r="V4" s="17">
        <f t="shared" si="2"/>
        <v>169</v>
      </c>
      <c r="W4" s="17">
        <f t="shared" si="3"/>
        <v>36</v>
      </c>
      <c r="X4" s="17">
        <f t="shared" si="4"/>
        <v>32</v>
      </c>
      <c r="Y4" s="17">
        <f t="shared" si="5"/>
        <v>64</v>
      </c>
      <c r="Z4" s="17">
        <f t="shared" si="6"/>
        <v>52</v>
      </c>
      <c r="AA4" s="18">
        <f t="shared" si="7"/>
        <v>32</v>
      </c>
      <c r="AB4" s="25">
        <f t="shared" si="8"/>
        <v>200</v>
      </c>
      <c r="AC4" s="26">
        <f t="shared" si="9"/>
        <v>57</v>
      </c>
      <c r="AD4" s="26">
        <f t="shared" si="10"/>
        <v>162</v>
      </c>
      <c r="AE4" s="26">
        <f t="shared" si="11"/>
        <v>1</v>
      </c>
      <c r="AF4" s="26">
        <f t="shared" si="12"/>
        <v>169</v>
      </c>
      <c r="AG4" s="26">
        <f t="shared" si="13"/>
        <v>4</v>
      </c>
      <c r="AH4" s="26">
        <f t="shared" si="14"/>
        <v>96</v>
      </c>
      <c r="AI4" s="27">
        <f t="shared" si="15"/>
        <v>32</v>
      </c>
      <c r="AJ4" s="31"/>
      <c r="AK4" s="33">
        <f t="shared" si="19"/>
        <v>14896</v>
      </c>
      <c r="AL4" s="17">
        <f t="shared" si="20"/>
        <v>64</v>
      </c>
      <c r="AM4" s="17">
        <f t="shared" si="21"/>
        <v>52</v>
      </c>
      <c r="AN4" s="17">
        <f t="shared" si="22"/>
        <v>169</v>
      </c>
      <c r="AO4" s="17">
        <f t="shared" si="23"/>
        <v>36</v>
      </c>
      <c r="AP4" s="17">
        <f t="shared" si="24"/>
        <v>32</v>
      </c>
      <c r="AQ4" s="17">
        <f t="shared" si="25"/>
        <v>64</v>
      </c>
      <c r="AR4" s="17">
        <f t="shared" si="26"/>
        <v>52</v>
      </c>
      <c r="AS4" s="17">
        <f t="shared" si="27"/>
        <v>32</v>
      </c>
      <c r="AT4" s="34">
        <f t="shared" si="28"/>
        <v>15397</v>
      </c>
      <c r="AU4" s="31"/>
      <c r="AV4">
        <f t="shared" si="44"/>
        <v>1606</v>
      </c>
      <c r="AW4" t="s">
        <v>5</v>
      </c>
      <c r="AX4" s="8" t="str">
        <f t="shared" si="29"/>
        <v>14896,64,52,169,36,32,64,52,32,15397</v>
      </c>
      <c r="AY4" s="31"/>
      <c r="AZ4" s="9" t="str">
        <f t="shared" si="30"/>
        <v>1606 DATA 14896,64,52,169,36,32,64,52,32,15397</v>
      </c>
      <c r="BA4" s="31"/>
      <c r="BB4" s="33">
        <f t="shared" si="31"/>
        <v>14904</v>
      </c>
      <c r="BC4" s="26">
        <f t="shared" si="32"/>
        <v>200</v>
      </c>
      <c r="BD4" s="26">
        <f t="shared" si="33"/>
        <v>57</v>
      </c>
      <c r="BE4" s="26">
        <f t="shared" si="34"/>
        <v>162</v>
      </c>
      <c r="BF4" s="26">
        <f t="shared" si="35"/>
        <v>1</v>
      </c>
      <c r="BG4" s="26">
        <f t="shared" si="36"/>
        <v>169</v>
      </c>
      <c r="BH4" s="26">
        <f t="shared" si="37"/>
        <v>4</v>
      </c>
      <c r="BI4" s="26">
        <f t="shared" si="38"/>
        <v>96</v>
      </c>
      <c r="BJ4" s="26">
        <f t="shared" si="39"/>
        <v>32</v>
      </c>
      <c r="BK4" s="34">
        <f t="shared" si="40"/>
        <v>15625</v>
      </c>
      <c r="BL4" s="31"/>
      <c r="BM4">
        <f t="shared" si="45"/>
        <v>1607</v>
      </c>
      <c r="BN4" t="s">
        <v>5</v>
      </c>
      <c r="BO4" s="8" t="str">
        <f t="shared" si="41"/>
        <v>14904,200,57,162,1,169,4,96,32,15625</v>
      </c>
      <c r="BP4"/>
      <c r="BQ4" s="9" t="str">
        <f t="shared" si="42"/>
        <v>1607 DATA 14904,200,57,162,1,169,4,96,32,15625</v>
      </c>
      <c r="BR4" s="31"/>
      <c r="BS4" s="31"/>
      <c r="BT4" t="s">
        <v>180</v>
      </c>
      <c r="BU4" t="s">
        <v>5</v>
      </c>
      <c r="BV4" s="8" t="str">
        <f t="shared" si="43"/>
        <v>96,32,15625,,1607,DATA,14904,200,57,162,1,169,4,96,32,15625,,1607 DATA 14904,200,57,162,1,169,4,96,32,15625,</v>
      </c>
    </row>
    <row r="5" spans="1:74">
      <c r="A5" s="1" t="s">
        <v>15</v>
      </c>
      <c r="B5" s="3" t="s">
        <v>144</v>
      </c>
      <c r="C5" s="3">
        <v>39</v>
      </c>
      <c r="D5" s="3">
        <v>20</v>
      </c>
      <c r="E5" s="3">
        <v>50</v>
      </c>
      <c r="F5" s="3" t="s">
        <v>4</v>
      </c>
      <c r="G5" s="3">
        <v>20</v>
      </c>
      <c r="H5" s="3" t="s">
        <v>16</v>
      </c>
      <c r="I5" s="3">
        <v>39</v>
      </c>
      <c r="J5" s="3" t="s">
        <v>2</v>
      </c>
      <c r="K5" s="3">
        <v>6</v>
      </c>
      <c r="L5" s="3" t="s">
        <v>8</v>
      </c>
      <c r="M5" s="3">
        <v>2</v>
      </c>
      <c r="N5" s="3">
        <v>60</v>
      </c>
      <c r="O5" s="3">
        <v>20</v>
      </c>
      <c r="P5" s="3" t="s">
        <v>144</v>
      </c>
      <c r="Q5" s="3">
        <v>39</v>
      </c>
      <c r="S5" s="11">
        <f t="shared" si="18"/>
        <v>14992</v>
      </c>
      <c r="T5" s="16">
        <f t="shared" si="0"/>
        <v>225</v>
      </c>
      <c r="U5" s="17">
        <f t="shared" si="1"/>
        <v>57</v>
      </c>
      <c r="V5" s="17">
        <f t="shared" si="2"/>
        <v>32</v>
      </c>
      <c r="W5" s="17">
        <f t="shared" si="3"/>
        <v>80</v>
      </c>
      <c r="X5" s="17">
        <f t="shared" si="4"/>
        <v>58</v>
      </c>
      <c r="Y5" s="17">
        <f t="shared" si="5"/>
        <v>32</v>
      </c>
      <c r="Z5" s="17">
        <f t="shared" si="6"/>
        <v>229</v>
      </c>
      <c r="AA5" s="18">
        <f t="shared" si="7"/>
        <v>57</v>
      </c>
      <c r="AB5" s="25">
        <f t="shared" si="8"/>
        <v>169</v>
      </c>
      <c r="AC5" s="26">
        <f t="shared" si="9"/>
        <v>6</v>
      </c>
      <c r="AD5" s="26">
        <f t="shared" si="10"/>
        <v>162</v>
      </c>
      <c r="AE5" s="26">
        <f t="shared" si="11"/>
        <v>2</v>
      </c>
      <c r="AF5" s="26">
        <f t="shared" si="12"/>
        <v>96</v>
      </c>
      <c r="AG5" s="26">
        <f t="shared" si="13"/>
        <v>32</v>
      </c>
      <c r="AH5" s="26">
        <f t="shared" si="14"/>
        <v>225</v>
      </c>
      <c r="AI5" s="27">
        <f t="shared" si="15"/>
        <v>57</v>
      </c>
      <c r="AJ5" s="31"/>
      <c r="AK5" s="33">
        <f t="shared" si="19"/>
        <v>14992</v>
      </c>
      <c r="AL5" s="17">
        <f t="shared" si="20"/>
        <v>225</v>
      </c>
      <c r="AM5" s="17">
        <f t="shared" si="21"/>
        <v>57</v>
      </c>
      <c r="AN5" s="17">
        <f t="shared" si="22"/>
        <v>32</v>
      </c>
      <c r="AO5" s="17">
        <f t="shared" si="23"/>
        <v>80</v>
      </c>
      <c r="AP5" s="17">
        <f t="shared" si="24"/>
        <v>58</v>
      </c>
      <c r="AQ5" s="17">
        <f t="shared" si="25"/>
        <v>32</v>
      </c>
      <c r="AR5" s="17">
        <f t="shared" si="26"/>
        <v>229</v>
      </c>
      <c r="AS5" s="17">
        <f t="shared" si="27"/>
        <v>57</v>
      </c>
      <c r="AT5" s="34">
        <f t="shared" si="28"/>
        <v>15762</v>
      </c>
      <c r="AU5" s="31"/>
      <c r="AV5">
        <f t="shared" si="44"/>
        <v>1608</v>
      </c>
      <c r="AW5" t="s">
        <v>5</v>
      </c>
      <c r="AX5" s="8" t="str">
        <f t="shared" si="29"/>
        <v>14992,225,57,32,80,58,32,229,57,15762</v>
      </c>
      <c r="AY5" s="31"/>
      <c r="AZ5" s="9" t="str">
        <f t="shared" si="30"/>
        <v>1608 DATA 14992,225,57,32,80,58,32,229,57,15762</v>
      </c>
      <c r="BA5" s="31"/>
      <c r="BB5" s="33">
        <f t="shared" si="31"/>
        <v>15000</v>
      </c>
      <c r="BC5" s="26">
        <f t="shared" si="32"/>
        <v>169</v>
      </c>
      <c r="BD5" s="26">
        <f t="shared" si="33"/>
        <v>6</v>
      </c>
      <c r="BE5" s="26">
        <f t="shared" si="34"/>
        <v>162</v>
      </c>
      <c r="BF5" s="26">
        <f t="shared" si="35"/>
        <v>2</v>
      </c>
      <c r="BG5" s="26">
        <f t="shared" si="36"/>
        <v>96</v>
      </c>
      <c r="BH5" s="26">
        <f t="shared" si="37"/>
        <v>32</v>
      </c>
      <c r="BI5" s="26">
        <f t="shared" si="38"/>
        <v>225</v>
      </c>
      <c r="BJ5" s="26">
        <f t="shared" si="39"/>
        <v>57</v>
      </c>
      <c r="BK5" s="34">
        <f t="shared" si="40"/>
        <v>15749</v>
      </c>
      <c r="BL5" s="31"/>
      <c r="BM5">
        <f t="shared" si="45"/>
        <v>1609</v>
      </c>
      <c r="BN5" t="s">
        <v>5</v>
      </c>
      <c r="BO5" s="8" t="str">
        <f t="shared" si="41"/>
        <v>15000,169,6,162,2,96,32,225,57,15749</v>
      </c>
      <c r="BP5"/>
      <c r="BQ5" s="9" t="str">
        <f t="shared" si="42"/>
        <v>1609 DATA 15000,169,6,162,2,96,32,225,57,15749</v>
      </c>
      <c r="BR5" s="31"/>
      <c r="BS5" s="31"/>
      <c r="BT5" t="s">
        <v>181</v>
      </c>
      <c r="BU5" t="s">
        <v>5</v>
      </c>
      <c r="BV5" s="8" t="str">
        <f t="shared" si="43"/>
        <v>225,57,15749,,1609,DATA,15000,169,6,162,2,96,32,225,57,15749,,1609 DATA 15000,169,6,162,2,96,32,225,57,15749,</v>
      </c>
    </row>
    <row r="6" spans="1:74">
      <c r="A6" s="1" t="s">
        <v>17</v>
      </c>
      <c r="B6" s="3">
        <v>20</v>
      </c>
      <c r="C6" s="3" t="s">
        <v>18</v>
      </c>
      <c r="D6" s="3" t="s">
        <v>4</v>
      </c>
      <c r="E6" s="3">
        <v>20</v>
      </c>
      <c r="F6" s="3" t="s">
        <v>16</v>
      </c>
      <c r="G6" s="3">
        <v>39</v>
      </c>
      <c r="H6" s="3" t="s">
        <v>8</v>
      </c>
      <c r="I6" s="3">
        <v>1</v>
      </c>
      <c r="J6" s="3" t="s">
        <v>2</v>
      </c>
      <c r="K6" s="3">
        <v>6</v>
      </c>
      <c r="L6" s="3">
        <v>60</v>
      </c>
      <c r="M6" s="3">
        <v>20</v>
      </c>
      <c r="N6" s="3" t="s">
        <v>144</v>
      </c>
      <c r="O6" s="3">
        <v>39</v>
      </c>
      <c r="P6" s="3">
        <v>20</v>
      </c>
      <c r="Q6" s="3" t="s">
        <v>9</v>
      </c>
      <c r="S6" s="11">
        <f t="shared" si="18"/>
        <v>15008</v>
      </c>
      <c r="T6" s="16">
        <f t="shared" si="0"/>
        <v>32</v>
      </c>
      <c r="U6" s="17">
        <f t="shared" si="1"/>
        <v>243</v>
      </c>
      <c r="V6" s="17">
        <f t="shared" si="2"/>
        <v>58</v>
      </c>
      <c r="W6" s="17">
        <f t="shared" si="3"/>
        <v>32</v>
      </c>
      <c r="X6" s="17">
        <f t="shared" si="4"/>
        <v>229</v>
      </c>
      <c r="Y6" s="17">
        <f t="shared" si="5"/>
        <v>57</v>
      </c>
      <c r="Z6" s="17">
        <f t="shared" si="6"/>
        <v>162</v>
      </c>
      <c r="AA6" s="18">
        <f t="shared" si="7"/>
        <v>1</v>
      </c>
      <c r="AB6" s="25">
        <f t="shared" si="8"/>
        <v>169</v>
      </c>
      <c r="AC6" s="26">
        <f t="shared" si="9"/>
        <v>6</v>
      </c>
      <c r="AD6" s="26">
        <f t="shared" si="10"/>
        <v>96</v>
      </c>
      <c r="AE6" s="26">
        <f t="shared" si="11"/>
        <v>32</v>
      </c>
      <c r="AF6" s="26">
        <f t="shared" si="12"/>
        <v>225</v>
      </c>
      <c r="AG6" s="26">
        <f t="shared" si="13"/>
        <v>57</v>
      </c>
      <c r="AH6" s="26">
        <f t="shared" si="14"/>
        <v>32</v>
      </c>
      <c r="AI6" s="27">
        <f t="shared" si="15"/>
        <v>235</v>
      </c>
      <c r="AJ6" s="31"/>
      <c r="AK6" s="33">
        <f t="shared" si="19"/>
        <v>15008</v>
      </c>
      <c r="AL6" s="17">
        <f t="shared" si="20"/>
        <v>32</v>
      </c>
      <c r="AM6" s="17">
        <f t="shared" si="21"/>
        <v>243</v>
      </c>
      <c r="AN6" s="17">
        <f t="shared" si="22"/>
        <v>58</v>
      </c>
      <c r="AO6" s="17">
        <f t="shared" si="23"/>
        <v>32</v>
      </c>
      <c r="AP6" s="17">
        <f t="shared" si="24"/>
        <v>229</v>
      </c>
      <c r="AQ6" s="17">
        <f t="shared" si="25"/>
        <v>57</v>
      </c>
      <c r="AR6" s="17">
        <f t="shared" si="26"/>
        <v>162</v>
      </c>
      <c r="AS6" s="17">
        <f t="shared" si="27"/>
        <v>1</v>
      </c>
      <c r="AT6" s="34">
        <f t="shared" si="28"/>
        <v>15822</v>
      </c>
      <c r="AU6" s="31"/>
      <c r="AV6">
        <f t="shared" si="44"/>
        <v>1610</v>
      </c>
      <c r="AW6" t="s">
        <v>5</v>
      </c>
      <c r="AX6" s="8" t="str">
        <f t="shared" si="29"/>
        <v>15008,32,243,58,32,229,57,162,1,15822</v>
      </c>
      <c r="AY6" s="31"/>
      <c r="AZ6" s="9" t="str">
        <f t="shared" si="30"/>
        <v>1610 DATA 15008,32,243,58,32,229,57,162,1,15822</v>
      </c>
      <c r="BA6" s="31"/>
      <c r="BB6" s="33">
        <f t="shared" si="31"/>
        <v>15016</v>
      </c>
      <c r="BC6" s="26">
        <f t="shared" si="32"/>
        <v>169</v>
      </c>
      <c r="BD6" s="26">
        <f t="shared" si="33"/>
        <v>6</v>
      </c>
      <c r="BE6" s="26">
        <f t="shared" si="34"/>
        <v>96</v>
      </c>
      <c r="BF6" s="26">
        <f t="shared" si="35"/>
        <v>32</v>
      </c>
      <c r="BG6" s="26">
        <f t="shared" si="36"/>
        <v>225</v>
      </c>
      <c r="BH6" s="26">
        <f t="shared" si="37"/>
        <v>57</v>
      </c>
      <c r="BI6" s="26">
        <f t="shared" si="38"/>
        <v>32</v>
      </c>
      <c r="BJ6" s="26">
        <f t="shared" si="39"/>
        <v>235</v>
      </c>
      <c r="BK6" s="34">
        <f t="shared" si="40"/>
        <v>15868</v>
      </c>
      <c r="BL6" s="31"/>
      <c r="BM6">
        <f t="shared" si="45"/>
        <v>1611</v>
      </c>
      <c r="BN6" t="s">
        <v>5</v>
      </c>
      <c r="BO6" s="8" t="str">
        <f t="shared" si="41"/>
        <v>15016,169,6,96,32,225,57,32,235,15868</v>
      </c>
      <c r="BP6"/>
      <c r="BQ6" s="9" t="str">
        <f t="shared" si="42"/>
        <v>1611 DATA 15016,169,6,96,32,225,57,32,235,15868</v>
      </c>
      <c r="BR6" s="31"/>
      <c r="BS6" s="31"/>
      <c r="BT6" t="s">
        <v>182</v>
      </c>
      <c r="BU6" t="s">
        <v>5</v>
      </c>
      <c r="BV6" s="8" t="str">
        <f t="shared" si="43"/>
        <v>32,235,15868,,1611,DATA,15016,169,6,96,32,225,57,32,235,15868,,1611 DATA 15016,169,6,96,32,225,57,32,235,15868,</v>
      </c>
    </row>
    <row r="7" spans="1:74">
      <c r="A7" s="1" t="s">
        <v>19</v>
      </c>
      <c r="B7" s="3" t="s">
        <v>4</v>
      </c>
      <c r="C7" s="3">
        <v>20</v>
      </c>
      <c r="D7" s="3" t="s">
        <v>16</v>
      </c>
      <c r="E7" s="3">
        <v>39</v>
      </c>
      <c r="F7" s="3">
        <v>20</v>
      </c>
      <c r="G7" s="3" t="s">
        <v>11</v>
      </c>
      <c r="H7" s="3">
        <v>39</v>
      </c>
      <c r="I7" s="3" t="s">
        <v>8</v>
      </c>
      <c r="J7" s="3">
        <v>1</v>
      </c>
      <c r="K7" s="3" t="s">
        <v>2</v>
      </c>
      <c r="L7" s="3">
        <v>6</v>
      </c>
      <c r="M7" s="3">
        <v>60</v>
      </c>
      <c r="N7" s="3">
        <v>20</v>
      </c>
      <c r="O7" s="3" t="s">
        <v>20</v>
      </c>
      <c r="P7" s="3">
        <v>33</v>
      </c>
      <c r="Q7" s="3">
        <v>20</v>
      </c>
      <c r="S7" s="11">
        <f t="shared" si="18"/>
        <v>15024</v>
      </c>
      <c r="T7" s="16">
        <f t="shared" si="0"/>
        <v>58</v>
      </c>
      <c r="U7" s="17">
        <f t="shared" si="1"/>
        <v>32</v>
      </c>
      <c r="V7" s="17">
        <f t="shared" si="2"/>
        <v>229</v>
      </c>
      <c r="W7" s="17">
        <f t="shared" si="3"/>
        <v>57</v>
      </c>
      <c r="X7" s="17">
        <f t="shared" si="4"/>
        <v>32</v>
      </c>
      <c r="Y7" s="17">
        <f t="shared" si="5"/>
        <v>246</v>
      </c>
      <c r="Z7" s="17">
        <f t="shared" si="6"/>
        <v>57</v>
      </c>
      <c r="AA7" s="18">
        <f t="shared" si="7"/>
        <v>162</v>
      </c>
      <c r="AB7" s="25">
        <f t="shared" si="8"/>
        <v>1</v>
      </c>
      <c r="AC7" s="26">
        <f t="shared" si="9"/>
        <v>169</v>
      </c>
      <c r="AD7" s="26">
        <f t="shared" si="10"/>
        <v>6</v>
      </c>
      <c r="AE7" s="26">
        <f t="shared" si="11"/>
        <v>96</v>
      </c>
      <c r="AF7" s="26">
        <f t="shared" si="12"/>
        <v>32</v>
      </c>
      <c r="AG7" s="26">
        <f t="shared" si="13"/>
        <v>13</v>
      </c>
      <c r="AH7" s="26">
        <f t="shared" si="14"/>
        <v>51</v>
      </c>
      <c r="AI7" s="27">
        <f t="shared" si="15"/>
        <v>32</v>
      </c>
      <c r="AJ7" s="31"/>
      <c r="AK7" s="33">
        <f t="shared" si="19"/>
        <v>15024</v>
      </c>
      <c r="AL7" s="17">
        <f t="shared" si="20"/>
        <v>58</v>
      </c>
      <c r="AM7" s="17">
        <f t="shared" si="21"/>
        <v>32</v>
      </c>
      <c r="AN7" s="17">
        <f t="shared" si="22"/>
        <v>229</v>
      </c>
      <c r="AO7" s="17">
        <f t="shared" si="23"/>
        <v>57</v>
      </c>
      <c r="AP7" s="17">
        <f t="shared" si="24"/>
        <v>32</v>
      </c>
      <c r="AQ7" s="17">
        <f t="shared" si="25"/>
        <v>246</v>
      </c>
      <c r="AR7" s="17">
        <f t="shared" si="26"/>
        <v>57</v>
      </c>
      <c r="AS7" s="17">
        <f t="shared" si="27"/>
        <v>162</v>
      </c>
      <c r="AT7" s="34">
        <f t="shared" si="28"/>
        <v>15897</v>
      </c>
      <c r="AU7" s="31"/>
      <c r="AV7">
        <f t="shared" si="44"/>
        <v>1612</v>
      </c>
      <c r="AW7" t="s">
        <v>5</v>
      </c>
      <c r="AX7" s="8" t="str">
        <f t="shared" si="29"/>
        <v>15024,58,32,229,57,32,246,57,162,15897</v>
      </c>
      <c r="AY7" s="31"/>
      <c r="AZ7" s="9" t="str">
        <f t="shared" si="30"/>
        <v>1612 DATA 15024,58,32,229,57,32,246,57,162,15897</v>
      </c>
      <c r="BA7" s="31"/>
      <c r="BB7" s="33">
        <f t="shared" si="31"/>
        <v>15032</v>
      </c>
      <c r="BC7" s="26">
        <f t="shared" si="32"/>
        <v>1</v>
      </c>
      <c r="BD7" s="26">
        <f t="shared" si="33"/>
        <v>169</v>
      </c>
      <c r="BE7" s="26">
        <f t="shared" si="34"/>
        <v>6</v>
      </c>
      <c r="BF7" s="26">
        <f t="shared" si="35"/>
        <v>96</v>
      </c>
      <c r="BG7" s="26">
        <f t="shared" si="36"/>
        <v>32</v>
      </c>
      <c r="BH7" s="26">
        <f t="shared" si="37"/>
        <v>13</v>
      </c>
      <c r="BI7" s="26">
        <f t="shared" si="38"/>
        <v>51</v>
      </c>
      <c r="BJ7" s="26">
        <f t="shared" si="39"/>
        <v>32</v>
      </c>
      <c r="BK7" s="34">
        <f t="shared" si="40"/>
        <v>15432</v>
      </c>
      <c r="BL7" s="31"/>
      <c r="BM7">
        <f t="shared" si="45"/>
        <v>1613</v>
      </c>
      <c r="BN7" t="s">
        <v>5</v>
      </c>
      <c r="BO7" s="8" t="str">
        <f t="shared" si="41"/>
        <v>15032,1,169,6,96,32,13,51,32,15432</v>
      </c>
      <c r="BP7"/>
      <c r="BQ7" s="9" t="str">
        <f t="shared" si="42"/>
        <v>1613 DATA 15032,1,169,6,96,32,13,51,32,15432</v>
      </c>
      <c r="BR7" s="31"/>
      <c r="BS7" s="31"/>
      <c r="BT7" t="s">
        <v>183</v>
      </c>
      <c r="BU7" t="s">
        <v>5</v>
      </c>
      <c r="BV7" s="8" t="str">
        <f t="shared" si="43"/>
        <v>51,32,15432,,1613,DATA,15032,1,169,6,96,32,13,51,32,15432,,1613 DATA 15032,1,169,6,96,32,13,51,32,15432,</v>
      </c>
    </row>
    <row r="8" spans="1:74">
      <c r="A8" s="1" t="s">
        <v>21</v>
      </c>
      <c r="B8" s="3">
        <v>12</v>
      </c>
      <c r="C8" s="3">
        <v>35</v>
      </c>
      <c r="D8" s="3">
        <v>20</v>
      </c>
      <c r="E8" s="3">
        <v>95</v>
      </c>
      <c r="F8" s="3">
        <v>32</v>
      </c>
      <c r="G8" s="3">
        <v>48</v>
      </c>
      <c r="H8" s="3">
        <v>20</v>
      </c>
      <c r="I8" s="3" t="s">
        <v>20</v>
      </c>
      <c r="J8" s="3">
        <v>33</v>
      </c>
      <c r="K8" s="3">
        <v>68</v>
      </c>
      <c r="L8" s="3" t="s">
        <v>22</v>
      </c>
      <c r="M8" s="3">
        <v>0</v>
      </c>
      <c r="N8" s="3">
        <v>10</v>
      </c>
      <c r="O8" s="3">
        <v>3</v>
      </c>
      <c r="P8" s="3" t="s">
        <v>23</v>
      </c>
      <c r="Q8" s="3">
        <v>6</v>
      </c>
      <c r="S8" s="11">
        <f t="shared" si="18"/>
        <v>15040</v>
      </c>
      <c r="T8" s="16">
        <f t="shared" si="0"/>
        <v>18</v>
      </c>
      <c r="U8" s="17">
        <f t="shared" si="1"/>
        <v>53</v>
      </c>
      <c r="V8" s="17">
        <f t="shared" si="2"/>
        <v>32</v>
      </c>
      <c r="W8" s="17">
        <f t="shared" si="3"/>
        <v>149</v>
      </c>
      <c r="X8" s="17">
        <f t="shared" si="4"/>
        <v>50</v>
      </c>
      <c r="Y8" s="17">
        <f t="shared" si="5"/>
        <v>72</v>
      </c>
      <c r="Z8" s="17">
        <f t="shared" si="6"/>
        <v>32</v>
      </c>
      <c r="AA8" s="18">
        <f t="shared" si="7"/>
        <v>13</v>
      </c>
      <c r="AB8" s="25">
        <f t="shared" si="8"/>
        <v>51</v>
      </c>
      <c r="AC8" s="26">
        <f t="shared" si="9"/>
        <v>104</v>
      </c>
      <c r="AD8" s="26">
        <f t="shared" si="10"/>
        <v>201</v>
      </c>
      <c r="AE8" s="26">
        <f t="shared" si="11"/>
        <v>0</v>
      </c>
      <c r="AF8" s="26">
        <f t="shared" si="12"/>
        <v>16</v>
      </c>
      <c r="AG8" s="26">
        <f t="shared" si="13"/>
        <v>3</v>
      </c>
      <c r="AH8" s="26">
        <f t="shared" si="14"/>
        <v>206</v>
      </c>
      <c r="AI8" s="27">
        <f t="shared" si="15"/>
        <v>6</v>
      </c>
      <c r="AJ8" s="31"/>
      <c r="AK8" s="33">
        <f t="shared" si="19"/>
        <v>15040</v>
      </c>
      <c r="AL8" s="17">
        <f t="shared" si="20"/>
        <v>18</v>
      </c>
      <c r="AM8" s="17">
        <f t="shared" si="21"/>
        <v>53</v>
      </c>
      <c r="AN8" s="17">
        <f t="shared" si="22"/>
        <v>32</v>
      </c>
      <c r="AO8" s="17">
        <f t="shared" si="23"/>
        <v>149</v>
      </c>
      <c r="AP8" s="17">
        <f t="shared" si="24"/>
        <v>50</v>
      </c>
      <c r="AQ8" s="17">
        <f t="shared" si="25"/>
        <v>72</v>
      </c>
      <c r="AR8" s="17">
        <f t="shared" si="26"/>
        <v>32</v>
      </c>
      <c r="AS8" s="17">
        <f t="shared" si="27"/>
        <v>13</v>
      </c>
      <c r="AT8" s="34">
        <f t="shared" si="28"/>
        <v>15459</v>
      </c>
      <c r="AU8" s="31"/>
      <c r="AV8">
        <f t="shared" si="44"/>
        <v>1614</v>
      </c>
      <c r="AW8" t="s">
        <v>5</v>
      </c>
      <c r="AX8" s="8" t="str">
        <f t="shared" si="29"/>
        <v>15040,18,53,32,149,50,72,32,13,15459</v>
      </c>
      <c r="AY8" s="31"/>
      <c r="AZ8" s="9" t="str">
        <f t="shared" si="30"/>
        <v>1614 DATA 15040,18,53,32,149,50,72,32,13,15459</v>
      </c>
      <c r="BA8" s="31"/>
      <c r="BB8" s="33">
        <f t="shared" si="31"/>
        <v>15048</v>
      </c>
      <c r="BC8" s="26">
        <f t="shared" si="32"/>
        <v>51</v>
      </c>
      <c r="BD8" s="26">
        <f t="shared" si="33"/>
        <v>104</v>
      </c>
      <c r="BE8" s="26">
        <f t="shared" si="34"/>
        <v>201</v>
      </c>
      <c r="BF8" s="26">
        <f t="shared" si="35"/>
        <v>0</v>
      </c>
      <c r="BG8" s="26">
        <f t="shared" si="36"/>
        <v>16</v>
      </c>
      <c r="BH8" s="26">
        <f t="shared" si="37"/>
        <v>3</v>
      </c>
      <c r="BI8" s="26">
        <f t="shared" si="38"/>
        <v>206</v>
      </c>
      <c r="BJ8" s="26">
        <f t="shared" si="39"/>
        <v>6</v>
      </c>
      <c r="BK8" s="34">
        <f t="shared" si="40"/>
        <v>15635</v>
      </c>
      <c r="BL8" s="31"/>
      <c r="BM8">
        <f t="shared" si="45"/>
        <v>1615</v>
      </c>
      <c r="BN8" t="s">
        <v>5</v>
      </c>
      <c r="BO8" s="8" t="str">
        <f t="shared" si="41"/>
        <v>15048,51,104,201,0,16,3,206,6,15635</v>
      </c>
      <c r="BP8"/>
      <c r="BQ8" s="9" t="str">
        <f t="shared" si="42"/>
        <v>1615 DATA 15048,51,104,201,0,16,3,206,6,15635</v>
      </c>
      <c r="BR8" s="31"/>
      <c r="BS8" s="31"/>
      <c r="BT8" t="s">
        <v>184</v>
      </c>
      <c r="BU8" t="s">
        <v>5</v>
      </c>
      <c r="BV8" s="8" t="str">
        <f t="shared" si="43"/>
        <v>206,6,15635,,1615,DATA,15048,51,104,201,0,16,3,206,6,15635,,1615 DATA 15048,51,104,201,0,16,3,206,6,15635,</v>
      </c>
    </row>
    <row r="9" spans="1:74">
      <c r="A9" s="1" t="s">
        <v>24</v>
      </c>
      <c r="B9" s="3">
        <v>32</v>
      </c>
      <c r="C9" s="3">
        <v>8</v>
      </c>
      <c r="D9" s="3" t="s">
        <v>25</v>
      </c>
      <c r="E9" s="3">
        <v>18</v>
      </c>
      <c r="F9" s="3" t="s">
        <v>1</v>
      </c>
      <c r="G9" s="3">
        <v>5</v>
      </c>
      <c r="H9" s="3">
        <v>32</v>
      </c>
      <c r="I9" s="3">
        <v>90</v>
      </c>
      <c r="J9" s="3">
        <v>3</v>
      </c>
      <c r="K9" s="3" t="s">
        <v>26</v>
      </c>
      <c r="L9" s="3">
        <v>6</v>
      </c>
      <c r="M9" s="3">
        <v>32</v>
      </c>
      <c r="N9" s="3" t="s">
        <v>27</v>
      </c>
      <c r="O9" s="3">
        <v>5</v>
      </c>
      <c r="P9" s="3">
        <v>32</v>
      </c>
      <c r="Q9" s="3">
        <v>28</v>
      </c>
      <c r="S9" s="11">
        <f t="shared" si="18"/>
        <v>15056</v>
      </c>
      <c r="T9" s="16">
        <f t="shared" si="0"/>
        <v>50</v>
      </c>
      <c r="U9" s="17">
        <f t="shared" si="1"/>
        <v>8</v>
      </c>
      <c r="V9" s="17">
        <f t="shared" si="2"/>
        <v>216</v>
      </c>
      <c r="W9" s="17">
        <f t="shared" si="3"/>
        <v>24</v>
      </c>
      <c r="X9" s="17">
        <f t="shared" si="4"/>
        <v>109</v>
      </c>
      <c r="Y9" s="17">
        <f t="shared" si="5"/>
        <v>5</v>
      </c>
      <c r="Z9" s="17">
        <f t="shared" si="6"/>
        <v>50</v>
      </c>
      <c r="AA9" s="18">
        <f t="shared" si="7"/>
        <v>144</v>
      </c>
      <c r="AB9" s="25">
        <f t="shared" si="8"/>
        <v>3</v>
      </c>
      <c r="AC9" s="26">
        <f t="shared" si="9"/>
        <v>238</v>
      </c>
      <c r="AD9" s="26">
        <f t="shared" si="10"/>
        <v>6</v>
      </c>
      <c r="AE9" s="26">
        <f t="shared" si="11"/>
        <v>50</v>
      </c>
      <c r="AF9" s="26">
        <f t="shared" si="12"/>
        <v>141</v>
      </c>
      <c r="AG9" s="26">
        <f t="shared" si="13"/>
        <v>5</v>
      </c>
      <c r="AH9" s="26">
        <f t="shared" si="14"/>
        <v>50</v>
      </c>
      <c r="AI9" s="27">
        <f t="shared" si="15"/>
        <v>40</v>
      </c>
      <c r="AJ9" s="31"/>
      <c r="AK9" s="33">
        <f t="shared" si="19"/>
        <v>15056</v>
      </c>
      <c r="AL9" s="17">
        <f t="shared" si="20"/>
        <v>50</v>
      </c>
      <c r="AM9" s="17">
        <f t="shared" si="21"/>
        <v>8</v>
      </c>
      <c r="AN9" s="17">
        <f t="shared" si="22"/>
        <v>216</v>
      </c>
      <c r="AO9" s="17">
        <f t="shared" si="23"/>
        <v>24</v>
      </c>
      <c r="AP9" s="17">
        <f t="shared" si="24"/>
        <v>109</v>
      </c>
      <c r="AQ9" s="17">
        <f t="shared" si="25"/>
        <v>5</v>
      </c>
      <c r="AR9" s="17">
        <f t="shared" si="26"/>
        <v>50</v>
      </c>
      <c r="AS9" s="17">
        <f t="shared" si="27"/>
        <v>144</v>
      </c>
      <c r="AT9" s="34">
        <f t="shared" si="28"/>
        <v>15662</v>
      </c>
      <c r="AU9" s="31"/>
      <c r="AV9">
        <f t="shared" si="44"/>
        <v>1616</v>
      </c>
      <c r="AW9" t="s">
        <v>5</v>
      </c>
      <c r="AX9" s="8" t="str">
        <f t="shared" si="29"/>
        <v>15056,50,8,216,24,109,5,50,144,15662</v>
      </c>
      <c r="AY9" s="31"/>
      <c r="AZ9" s="9" t="str">
        <f t="shared" si="30"/>
        <v>1616 DATA 15056,50,8,216,24,109,5,50,144,15662</v>
      </c>
      <c r="BA9" s="31"/>
      <c r="BB9" s="33">
        <f t="shared" si="31"/>
        <v>15064</v>
      </c>
      <c r="BC9" s="26">
        <f t="shared" si="32"/>
        <v>3</v>
      </c>
      <c r="BD9" s="26">
        <f t="shared" si="33"/>
        <v>238</v>
      </c>
      <c r="BE9" s="26">
        <f t="shared" si="34"/>
        <v>6</v>
      </c>
      <c r="BF9" s="26">
        <f t="shared" si="35"/>
        <v>50</v>
      </c>
      <c r="BG9" s="26">
        <f t="shared" si="36"/>
        <v>141</v>
      </c>
      <c r="BH9" s="26">
        <f t="shared" si="37"/>
        <v>5</v>
      </c>
      <c r="BI9" s="26">
        <f t="shared" si="38"/>
        <v>50</v>
      </c>
      <c r="BJ9" s="26">
        <f t="shared" si="39"/>
        <v>40</v>
      </c>
      <c r="BK9" s="34">
        <f t="shared" si="40"/>
        <v>15597</v>
      </c>
      <c r="BL9" s="31"/>
      <c r="BM9">
        <f t="shared" si="45"/>
        <v>1617</v>
      </c>
      <c r="BN9" t="s">
        <v>5</v>
      </c>
      <c r="BO9" s="8" t="str">
        <f t="shared" si="41"/>
        <v>15064,3,238,6,50,141,5,50,40,15597</v>
      </c>
      <c r="BP9"/>
      <c r="BQ9" s="9" t="str">
        <f t="shared" si="42"/>
        <v>1617 DATA 15064,3,238,6,50,141,5,50,40,15597</v>
      </c>
      <c r="BR9" s="31"/>
      <c r="BS9" s="31"/>
      <c r="BT9" t="s">
        <v>185</v>
      </c>
      <c r="BU9" t="s">
        <v>5</v>
      </c>
      <c r="BV9" s="8" t="str">
        <f t="shared" si="43"/>
        <v>50,40,15597,,1617,DATA,15064,3,238,6,50,141,5,50,40,15597,,1617 DATA 15064,3,238,6,50,141,5,50,40,15597,</v>
      </c>
    </row>
    <row r="10" spans="1:74">
      <c r="A10" s="1" t="s">
        <v>28</v>
      </c>
      <c r="B10" s="3">
        <v>20</v>
      </c>
      <c r="C10" s="3" t="s">
        <v>29</v>
      </c>
      <c r="D10" s="3">
        <v>35</v>
      </c>
      <c r="E10" s="3">
        <v>20</v>
      </c>
      <c r="F10" s="3" t="s">
        <v>30</v>
      </c>
      <c r="G10" s="3">
        <v>35</v>
      </c>
      <c r="H10" s="3" t="s">
        <v>8</v>
      </c>
      <c r="I10" s="3">
        <v>1</v>
      </c>
      <c r="J10" s="3" t="s">
        <v>2</v>
      </c>
      <c r="K10" s="3">
        <v>4</v>
      </c>
      <c r="L10" s="3">
        <v>60</v>
      </c>
      <c r="M10" s="3">
        <v>20</v>
      </c>
      <c r="N10" s="3" t="s">
        <v>14</v>
      </c>
      <c r="O10" s="3">
        <v>39</v>
      </c>
      <c r="P10" s="3" t="s">
        <v>8</v>
      </c>
      <c r="Q10" s="3">
        <v>1</v>
      </c>
      <c r="S10" s="11">
        <f t="shared" si="18"/>
        <v>15072</v>
      </c>
      <c r="T10" s="16">
        <f t="shared" si="0"/>
        <v>32</v>
      </c>
      <c r="U10" s="17">
        <f t="shared" si="1"/>
        <v>155</v>
      </c>
      <c r="V10" s="17">
        <f t="shared" si="2"/>
        <v>53</v>
      </c>
      <c r="W10" s="17">
        <f t="shared" si="3"/>
        <v>32</v>
      </c>
      <c r="X10" s="17">
        <f t="shared" si="4"/>
        <v>43</v>
      </c>
      <c r="Y10" s="17">
        <f t="shared" si="5"/>
        <v>53</v>
      </c>
      <c r="Z10" s="17">
        <f t="shared" si="6"/>
        <v>162</v>
      </c>
      <c r="AA10" s="18">
        <f t="shared" si="7"/>
        <v>1</v>
      </c>
      <c r="AB10" s="25">
        <f t="shared" si="8"/>
        <v>169</v>
      </c>
      <c r="AC10" s="26">
        <f t="shared" si="9"/>
        <v>4</v>
      </c>
      <c r="AD10" s="26">
        <f t="shared" si="10"/>
        <v>96</v>
      </c>
      <c r="AE10" s="26">
        <f t="shared" si="11"/>
        <v>32</v>
      </c>
      <c r="AF10" s="26">
        <f t="shared" si="12"/>
        <v>200</v>
      </c>
      <c r="AG10" s="26">
        <f t="shared" si="13"/>
        <v>57</v>
      </c>
      <c r="AH10" s="26">
        <f t="shared" si="14"/>
        <v>162</v>
      </c>
      <c r="AI10" s="27">
        <f t="shared" si="15"/>
        <v>1</v>
      </c>
      <c r="AJ10" s="31"/>
      <c r="AK10" s="33">
        <f t="shared" si="19"/>
        <v>15072</v>
      </c>
      <c r="AL10" s="17">
        <f t="shared" si="20"/>
        <v>32</v>
      </c>
      <c r="AM10" s="17">
        <f t="shared" si="21"/>
        <v>155</v>
      </c>
      <c r="AN10" s="17">
        <f t="shared" si="22"/>
        <v>53</v>
      </c>
      <c r="AO10" s="17">
        <f t="shared" si="23"/>
        <v>32</v>
      </c>
      <c r="AP10" s="17">
        <f t="shared" si="24"/>
        <v>43</v>
      </c>
      <c r="AQ10" s="17">
        <f t="shared" si="25"/>
        <v>53</v>
      </c>
      <c r="AR10" s="17">
        <f t="shared" si="26"/>
        <v>162</v>
      </c>
      <c r="AS10" s="17">
        <f t="shared" si="27"/>
        <v>1</v>
      </c>
      <c r="AT10" s="34">
        <f t="shared" si="28"/>
        <v>15603</v>
      </c>
      <c r="AU10" s="31"/>
      <c r="AV10">
        <f t="shared" si="44"/>
        <v>1618</v>
      </c>
      <c r="AW10" t="s">
        <v>5</v>
      </c>
      <c r="AX10" s="8" t="str">
        <f t="shared" si="29"/>
        <v>15072,32,155,53,32,43,53,162,1,15603</v>
      </c>
      <c r="AY10" s="31"/>
      <c r="AZ10" s="9" t="str">
        <f t="shared" si="30"/>
        <v>1618 DATA 15072,32,155,53,32,43,53,162,1,15603</v>
      </c>
      <c r="BA10" s="31"/>
      <c r="BB10" s="33">
        <f t="shared" si="31"/>
        <v>15080</v>
      </c>
      <c r="BC10" s="26">
        <f t="shared" si="32"/>
        <v>169</v>
      </c>
      <c r="BD10" s="26">
        <f t="shared" si="33"/>
        <v>4</v>
      </c>
      <c r="BE10" s="26">
        <f t="shared" si="34"/>
        <v>96</v>
      </c>
      <c r="BF10" s="26">
        <f t="shared" si="35"/>
        <v>32</v>
      </c>
      <c r="BG10" s="26">
        <f t="shared" si="36"/>
        <v>200</v>
      </c>
      <c r="BH10" s="26">
        <f t="shared" si="37"/>
        <v>57</v>
      </c>
      <c r="BI10" s="26">
        <f t="shared" si="38"/>
        <v>162</v>
      </c>
      <c r="BJ10" s="26">
        <f t="shared" si="39"/>
        <v>1</v>
      </c>
      <c r="BK10" s="34">
        <f t="shared" si="40"/>
        <v>15801</v>
      </c>
      <c r="BL10" s="31"/>
      <c r="BM10">
        <f t="shared" si="45"/>
        <v>1619</v>
      </c>
      <c r="BN10" t="s">
        <v>5</v>
      </c>
      <c r="BO10" s="8" t="str">
        <f t="shared" si="41"/>
        <v>15080,169,4,96,32,200,57,162,1,15801</v>
      </c>
      <c r="BP10"/>
      <c r="BQ10" s="9" t="str">
        <f t="shared" si="42"/>
        <v>1619 DATA 15080,169,4,96,32,200,57,162,1,15801</v>
      </c>
      <c r="BR10" s="31"/>
      <c r="BS10" s="31"/>
      <c r="BT10" t="s">
        <v>186</v>
      </c>
      <c r="BU10" t="s">
        <v>5</v>
      </c>
      <c r="BV10" s="8" t="str">
        <f t="shared" si="43"/>
        <v>162,1,15801,,1619,DATA,15080,169,4,96,32,200,57,162,1,15801,,1619 DATA 15080,169,4,96,32,200,57,162,1,15801,</v>
      </c>
    </row>
    <row r="11" spans="1:74">
      <c r="A11" s="1" t="s">
        <v>31</v>
      </c>
      <c r="B11" s="3" t="s">
        <v>2</v>
      </c>
      <c r="C11" s="3">
        <v>2</v>
      </c>
      <c r="D11" s="3">
        <v>60</v>
      </c>
      <c r="E11" s="3">
        <v>20</v>
      </c>
      <c r="F11" s="3" t="s">
        <v>9</v>
      </c>
      <c r="G11" s="3" t="s">
        <v>4</v>
      </c>
      <c r="H11" s="3">
        <v>20</v>
      </c>
      <c r="I11" s="3" t="s">
        <v>9</v>
      </c>
      <c r="J11" s="3">
        <v>39</v>
      </c>
      <c r="K11" s="3" t="s">
        <v>8</v>
      </c>
      <c r="L11" s="3">
        <v>1</v>
      </c>
      <c r="M11" s="3" t="s">
        <v>2</v>
      </c>
      <c r="N11" s="3">
        <v>4</v>
      </c>
      <c r="O11" s="3">
        <v>60</v>
      </c>
      <c r="P11" s="3">
        <v>20</v>
      </c>
      <c r="Q11" s="3" t="s">
        <v>9</v>
      </c>
      <c r="S11" s="11">
        <f t="shared" si="18"/>
        <v>15088</v>
      </c>
      <c r="T11" s="16">
        <f t="shared" si="0"/>
        <v>169</v>
      </c>
      <c r="U11" s="17">
        <f t="shared" si="1"/>
        <v>2</v>
      </c>
      <c r="V11" s="17">
        <f t="shared" si="2"/>
        <v>96</v>
      </c>
      <c r="W11" s="17">
        <f t="shared" si="3"/>
        <v>32</v>
      </c>
      <c r="X11" s="17">
        <f t="shared" si="4"/>
        <v>235</v>
      </c>
      <c r="Y11" s="17">
        <f t="shared" si="5"/>
        <v>58</v>
      </c>
      <c r="Z11" s="17">
        <f t="shared" si="6"/>
        <v>32</v>
      </c>
      <c r="AA11" s="18">
        <f t="shared" si="7"/>
        <v>235</v>
      </c>
      <c r="AB11" s="25">
        <f t="shared" si="8"/>
        <v>57</v>
      </c>
      <c r="AC11" s="26">
        <f t="shared" si="9"/>
        <v>162</v>
      </c>
      <c r="AD11" s="26">
        <f t="shared" si="10"/>
        <v>1</v>
      </c>
      <c r="AE11" s="26">
        <f t="shared" si="11"/>
        <v>169</v>
      </c>
      <c r="AF11" s="26">
        <f t="shared" si="12"/>
        <v>4</v>
      </c>
      <c r="AG11" s="26">
        <f t="shared" si="13"/>
        <v>96</v>
      </c>
      <c r="AH11" s="26">
        <f t="shared" si="14"/>
        <v>32</v>
      </c>
      <c r="AI11" s="27">
        <f t="shared" si="15"/>
        <v>235</v>
      </c>
      <c r="AJ11" s="31"/>
      <c r="AK11" s="33">
        <f t="shared" si="19"/>
        <v>15088</v>
      </c>
      <c r="AL11" s="17">
        <f t="shared" si="20"/>
        <v>169</v>
      </c>
      <c r="AM11" s="17">
        <f t="shared" si="21"/>
        <v>2</v>
      </c>
      <c r="AN11" s="17">
        <f t="shared" si="22"/>
        <v>96</v>
      </c>
      <c r="AO11" s="17">
        <f t="shared" si="23"/>
        <v>32</v>
      </c>
      <c r="AP11" s="17">
        <f t="shared" si="24"/>
        <v>235</v>
      </c>
      <c r="AQ11" s="17">
        <f t="shared" si="25"/>
        <v>58</v>
      </c>
      <c r="AR11" s="17">
        <f t="shared" si="26"/>
        <v>32</v>
      </c>
      <c r="AS11" s="17">
        <f t="shared" si="27"/>
        <v>235</v>
      </c>
      <c r="AT11" s="34">
        <f t="shared" si="28"/>
        <v>15947</v>
      </c>
      <c r="AU11" s="31"/>
      <c r="AV11">
        <f t="shared" si="44"/>
        <v>1620</v>
      </c>
      <c r="AW11" t="s">
        <v>5</v>
      </c>
      <c r="AX11" s="8" t="str">
        <f t="shared" si="29"/>
        <v>15088,169,2,96,32,235,58,32,235,15947</v>
      </c>
      <c r="AY11" s="31"/>
      <c r="AZ11" s="9" t="str">
        <f t="shared" si="30"/>
        <v>1620 DATA 15088,169,2,96,32,235,58,32,235,15947</v>
      </c>
      <c r="BA11" s="31"/>
      <c r="BB11" s="33">
        <f t="shared" si="31"/>
        <v>15096</v>
      </c>
      <c r="BC11" s="26">
        <f t="shared" si="32"/>
        <v>57</v>
      </c>
      <c r="BD11" s="26">
        <f t="shared" si="33"/>
        <v>162</v>
      </c>
      <c r="BE11" s="26">
        <f t="shared" si="34"/>
        <v>1</v>
      </c>
      <c r="BF11" s="26">
        <f t="shared" si="35"/>
        <v>169</v>
      </c>
      <c r="BG11" s="26">
        <f t="shared" si="36"/>
        <v>4</v>
      </c>
      <c r="BH11" s="26">
        <f t="shared" si="37"/>
        <v>96</v>
      </c>
      <c r="BI11" s="26">
        <f t="shared" si="38"/>
        <v>32</v>
      </c>
      <c r="BJ11" s="26">
        <f t="shared" si="39"/>
        <v>235</v>
      </c>
      <c r="BK11" s="34">
        <f t="shared" si="40"/>
        <v>15852</v>
      </c>
      <c r="BL11" s="31"/>
      <c r="BM11">
        <f t="shared" si="45"/>
        <v>1621</v>
      </c>
      <c r="BN11" t="s">
        <v>5</v>
      </c>
      <c r="BO11" s="8" t="str">
        <f t="shared" si="41"/>
        <v>15096,57,162,1,169,4,96,32,235,15852</v>
      </c>
      <c r="BP11"/>
      <c r="BQ11" s="9" t="str">
        <f t="shared" si="42"/>
        <v>1621 DATA 15096,57,162,1,169,4,96,32,235,15852</v>
      </c>
      <c r="BR11" s="31"/>
      <c r="BS11" s="31"/>
      <c r="BT11" t="s">
        <v>187</v>
      </c>
      <c r="BU11" t="s">
        <v>5</v>
      </c>
      <c r="BV11" s="8" t="str">
        <f t="shared" si="43"/>
        <v>32,235,15852,,1621,DATA,15096,57,162,1,169,4,96,32,235,15852,,1621 DATA 15096,57,162,1,169,4,96,32,235,15852,</v>
      </c>
    </row>
    <row r="12" spans="1:74">
      <c r="A12" s="1" t="s">
        <v>32</v>
      </c>
      <c r="B12" s="3" t="s">
        <v>4</v>
      </c>
      <c r="C12" s="3">
        <v>20</v>
      </c>
      <c r="D12" s="3" t="s">
        <v>11</v>
      </c>
      <c r="E12" s="3">
        <v>39</v>
      </c>
      <c r="F12" s="3" t="s">
        <v>8</v>
      </c>
      <c r="G12" s="3">
        <v>1</v>
      </c>
      <c r="H12" s="3" t="s">
        <v>2</v>
      </c>
      <c r="I12" s="3">
        <v>4</v>
      </c>
      <c r="J12" s="3">
        <v>60</v>
      </c>
      <c r="K12" s="3">
        <v>68</v>
      </c>
      <c r="L12" s="3">
        <v>68</v>
      </c>
      <c r="M12" s="3">
        <v>68</v>
      </c>
      <c r="N12" s="3">
        <v>68</v>
      </c>
      <c r="O12" s="3">
        <v>20</v>
      </c>
      <c r="P12" s="3" t="s">
        <v>33</v>
      </c>
      <c r="Q12" s="3">
        <v>37</v>
      </c>
      <c r="S12" s="11">
        <f t="shared" si="18"/>
        <v>15104</v>
      </c>
      <c r="T12" s="16">
        <f t="shared" si="0"/>
        <v>58</v>
      </c>
      <c r="U12" s="17">
        <f t="shared" si="1"/>
        <v>32</v>
      </c>
      <c r="V12" s="17">
        <f t="shared" si="2"/>
        <v>246</v>
      </c>
      <c r="W12" s="17">
        <f t="shared" si="3"/>
        <v>57</v>
      </c>
      <c r="X12" s="17">
        <f t="shared" si="4"/>
        <v>162</v>
      </c>
      <c r="Y12" s="17">
        <f t="shared" si="5"/>
        <v>1</v>
      </c>
      <c r="Z12" s="17">
        <f t="shared" si="6"/>
        <v>169</v>
      </c>
      <c r="AA12" s="18">
        <f t="shared" si="7"/>
        <v>4</v>
      </c>
      <c r="AB12" s="25">
        <f t="shared" si="8"/>
        <v>96</v>
      </c>
      <c r="AC12" s="26">
        <f t="shared" si="9"/>
        <v>104</v>
      </c>
      <c r="AD12" s="26">
        <f t="shared" si="10"/>
        <v>104</v>
      </c>
      <c r="AE12" s="26">
        <f t="shared" si="11"/>
        <v>104</v>
      </c>
      <c r="AF12" s="26">
        <f t="shared" si="12"/>
        <v>104</v>
      </c>
      <c r="AG12" s="26">
        <f t="shared" si="13"/>
        <v>32</v>
      </c>
      <c r="AH12" s="26">
        <f t="shared" si="14"/>
        <v>125</v>
      </c>
      <c r="AI12" s="27">
        <f t="shared" si="15"/>
        <v>55</v>
      </c>
      <c r="AJ12" s="31"/>
      <c r="AK12" s="33">
        <f t="shared" si="19"/>
        <v>15104</v>
      </c>
      <c r="AL12" s="17">
        <f t="shared" si="20"/>
        <v>58</v>
      </c>
      <c r="AM12" s="17">
        <f t="shared" si="21"/>
        <v>32</v>
      </c>
      <c r="AN12" s="17">
        <f t="shared" si="22"/>
        <v>246</v>
      </c>
      <c r="AO12" s="17">
        <f t="shared" si="23"/>
        <v>57</v>
      </c>
      <c r="AP12" s="17">
        <f t="shared" si="24"/>
        <v>162</v>
      </c>
      <c r="AQ12" s="17">
        <f t="shared" si="25"/>
        <v>1</v>
      </c>
      <c r="AR12" s="17">
        <f t="shared" si="26"/>
        <v>169</v>
      </c>
      <c r="AS12" s="17">
        <f t="shared" si="27"/>
        <v>4</v>
      </c>
      <c r="AT12" s="34">
        <f t="shared" si="28"/>
        <v>15833</v>
      </c>
      <c r="AU12" s="31"/>
      <c r="AV12">
        <f t="shared" si="44"/>
        <v>1622</v>
      </c>
      <c r="AW12" t="s">
        <v>5</v>
      </c>
      <c r="AX12" s="8" t="str">
        <f t="shared" si="29"/>
        <v>15104,58,32,246,57,162,1,169,4,15833</v>
      </c>
      <c r="AY12" s="31"/>
      <c r="AZ12" s="9" t="str">
        <f t="shared" si="30"/>
        <v>1622 DATA 15104,58,32,246,57,162,1,169,4,15833</v>
      </c>
      <c r="BA12" s="31"/>
      <c r="BB12" s="33">
        <f t="shared" si="31"/>
        <v>15112</v>
      </c>
      <c r="BC12" s="26">
        <f t="shared" si="32"/>
        <v>96</v>
      </c>
      <c r="BD12" s="26">
        <f t="shared" si="33"/>
        <v>104</v>
      </c>
      <c r="BE12" s="26">
        <f t="shared" si="34"/>
        <v>104</v>
      </c>
      <c r="BF12" s="26">
        <f t="shared" si="35"/>
        <v>104</v>
      </c>
      <c r="BG12" s="26">
        <f t="shared" si="36"/>
        <v>104</v>
      </c>
      <c r="BH12" s="26">
        <f t="shared" si="37"/>
        <v>32</v>
      </c>
      <c r="BI12" s="26">
        <f t="shared" si="38"/>
        <v>125</v>
      </c>
      <c r="BJ12" s="26">
        <f t="shared" si="39"/>
        <v>55</v>
      </c>
      <c r="BK12" s="34">
        <f t="shared" si="40"/>
        <v>15836</v>
      </c>
      <c r="BL12" s="31"/>
      <c r="BM12">
        <f t="shared" si="45"/>
        <v>1623</v>
      </c>
      <c r="BN12" t="s">
        <v>5</v>
      </c>
      <c r="BO12" s="8" t="str">
        <f t="shared" si="41"/>
        <v>15112,96,104,104,104,104,32,125,55,15836</v>
      </c>
      <c r="BP12"/>
      <c r="BQ12" s="9" t="str">
        <f t="shared" si="42"/>
        <v>1623 DATA 15112,96,104,104,104,104,32,125,55,15836</v>
      </c>
      <c r="BR12" s="31"/>
      <c r="BS12" s="31"/>
      <c r="BT12" t="s">
        <v>188</v>
      </c>
      <c r="BU12" t="s">
        <v>5</v>
      </c>
      <c r="BV12" s="8" t="str">
        <f t="shared" si="43"/>
        <v>125,55,15836,,1623,DATA,15112,96,104,104,104,104,32,125,55,15836,,1623 DATA 15112,96,104,104,104,104,32,125,55,15836,</v>
      </c>
    </row>
    <row r="13" spans="1:74">
      <c r="A13" s="1" t="s">
        <v>34</v>
      </c>
      <c r="B13" s="3">
        <v>30</v>
      </c>
      <c r="C13" s="3" t="s">
        <v>20</v>
      </c>
      <c r="D13" s="3">
        <v>20</v>
      </c>
      <c r="E13" s="3">
        <v>95</v>
      </c>
      <c r="F13" s="3">
        <v>32</v>
      </c>
      <c r="G13" s="3" t="s">
        <v>22</v>
      </c>
      <c r="H13" s="3" t="s">
        <v>0</v>
      </c>
      <c r="I13" s="3" t="s">
        <v>35</v>
      </c>
      <c r="J13" s="3">
        <v>6</v>
      </c>
      <c r="K13" s="3">
        <v>20</v>
      </c>
      <c r="L13" s="3">
        <v>40</v>
      </c>
      <c r="M13" s="3">
        <v>34</v>
      </c>
      <c r="N13" s="3">
        <v>18</v>
      </c>
      <c r="O13" s="3">
        <v>90</v>
      </c>
      <c r="P13" s="3" t="s">
        <v>26</v>
      </c>
      <c r="Q13" s="3">
        <v>20</v>
      </c>
      <c r="S13" s="11">
        <f t="shared" si="18"/>
        <v>15120</v>
      </c>
      <c r="T13" s="16">
        <f t="shared" si="0"/>
        <v>48</v>
      </c>
      <c r="U13" s="17">
        <f t="shared" si="1"/>
        <v>13</v>
      </c>
      <c r="V13" s="17">
        <f t="shared" si="2"/>
        <v>32</v>
      </c>
      <c r="W13" s="17">
        <f t="shared" si="3"/>
        <v>149</v>
      </c>
      <c r="X13" s="17">
        <f t="shared" si="4"/>
        <v>50</v>
      </c>
      <c r="Y13" s="17">
        <f t="shared" si="5"/>
        <v>201</v>
      </c>
      <c r="Z13" s="17">
        <f t="shared" si="6"/>
        <v>255</v>
      </c>
      <c r="AA13" s="18">
        <f t="shared" si="7"/>
        <v>240</v>
      </c>
      <c r="AB13" s="25">
        <f t="shared" si="8"/>
        <v>6</v>
      </c>
      <c r="AC13" s="26">
        <f t="shared" si="9"/>
        <v>32</v>
      </c>
      <c r="AD13" s="26">
        <f t="shared" si="10"/>
        <v>64</v>
      </c>
      <c r="AE13" s="26">
        <f t="shared" si="11"/>
        <v>52</v>
      </c>
      <c r="AF13" s="26">
        <f t="shared" si="12"/>
        <v>24</v>
      </c>
      <c r="AG13" s="26">
        <f t="shared" si="13"/>
        <v>144</v>
      </c>
      <c r="AH13" s="26">
        <f t="shared" si="14"/>
        <v>238</v>
      </c>
      <c r="AI13" s="27">
        <f t="shared" si="15"/>
        <v>32</v>
      </c>
      <c r="AJ13" s="31"/>
      <c r="AK13" s="33">
        <f t="shared" si="19"/>
        <v>15120</v>
      </c>
      <c r="AL13" s="17">
        <f t="shared" si="20"/>
        <v>48</v>
      </c>
      <c r="AM13" s="17">
        <f t="shared" si="21"/>
        <v>13</v>
      </c>
      <c r="AN13" s="17">
        <f t="shared" si="22"/>
        <v>32</v>
      </c>
      <c r="AO13" s="17">
        <f t="shared" si="23"/>
        <v>149</v>
      </c>
      <c r="AP13" s="17">
        <f t="shared" si="24"/>
        <v>50</v>
      </c>
      <c r="AQ13" s="17">
        <f t="shared" si="25"/>
        <v>201</v>
      </c>
      <c r="AR13" s="17">
        <f t="shared" si="26"/>
        <v>255</v>
      </c>
      <c r="AS13" s="17">
        <f t="shared" si="27"/>
        <v>240</v>
      </c>
      <c r="AT13" s="34">
        <f t="shared" si="28"/>
        <v>16108</v>
      </c>
      <c r="AU13" s="31"/>
      <c r="AV13">
        <f t="shared" si="44"/>
        <v>1624</v>
      </c>
      <c r="AW13" t="s">
        <v>5</v>
      </c>
      <c r="AX13" s="8" t="str">
        <f t="shared" si="29"/>
        <v>15120,48,13,32,149,50,201,255,240,16108</v>
      </c>
      <c r="AY13" s="31"/>
      <c r="AZ13" s="9" t="str">
        <f t="shared" si="30"/>
        <v>1624 DATA 15120,48,13,32,149,50,201,255,240,16108</v>
      </c>
      <c r="BA13" s="31"/>
      <c r="BB13" s="33">
        <f t="shared" si="31"/>
        <v>15128</v>
      </c>
      <c r="BC13" s="26">
        <f t="shared" si="32"/>
        <v>6</v>
      </c>
      <c r="BD13" s="26">
        <f t="shared" si="33"/>
        <v>32</v>
      </c>
      <c r="BE13" s="26">
        <f t="shared" si="34"/>
        <v>64</v>
      </c>
      <c r="BF13" s="26">
        <f t="shared" si="35"/>
        <v>52</v>
      </c>
      <c r="BG13" s="26">
        <f t="shared" si="36"/>
        <v>24</v>
      </c>
      <c r="BH13" s="26">
        <f t="shared" si="37"/>
        <v>144</v>
      </c>
      <c r="BI13" s="26">
        <f t="shared" si="38"/>
        <v>238</v>
      </c>
      <c r="BJ13" s="26">
        <f t="shared" si="39"/>
        <v>32</v>
      </c>
      <c r="BK13" s="34">
        <f t="shared" si="40"/>
        <v>15720</v>
      </c>
      <c r="BL13" s="31"/>
      <c r="BM13">
        <f t="shared" si="45"/>
        <v>1625</v>
      </c>
      <c r="BN13" t="s">
        <v>5</v>
      </c>
      <c r="BO13" s="8" t="str">
        <f t="shared" si="41"/>
        <v>15128,6,32,64,52,24,144,238,32,15720</v>
      </c>
      <c r="BP13"/>
      <c r="BQ13" s="9" t="str">
        <f t="shared" si="42"/>
        <v>1625 DATA 15128,6,32,64,52,24,144,238,32,15720</v>
      </c>
      <c r="BR13" s="31"/>
      <c r="BS13" s="31"/>
      <c r="BT13" t="s">
        <v>189</v>
      </c>
      <c r="BU13" t="s">
        <v>5</v>
      </c>
      <c r="BV13" s="8" t="str">
        <f t="shared" si="43"/>
        <v>238,32,15720,,1625,DATA,15128,6,32,64,52,24,144,238,32,15720,,1625 DATA 15128,6,32,64,52,24,144,238,32,15720,</v>
      </c>
    </row>
    <row r="14" spans="1:74">
      <c r="A14" s="1" t="s">
        <v>36</v>
      </c>
      <c r="B14" s="3">
        <v>72</v>
      </c>
      <c r="C14" s="3">
        <v>34</v>
      </c>
      <c r="D14" s="3">
        <v>20</v>
      </c>
      <c r="E14" s="3" t="s">
        <v>33</v>
      </c>
      <c r="F14" s="3">
        <v>37</v>
      </c>
      <c r="G14" s="3">
        <v>60</v>
      </c>
      <c r="H14" s="3">
        <v>78</v>
      </c>
      <c r="I14" s="3" t="s">
        <v>4</v>
      </c>
      <c r="J14" s="3" t="s">
        <v>37</v>
      </c>
      <c r="K14" s="3" t="s">
        <v>4</v>
      </c>
      <c r="L14" s="3" t="s">
        <v>33</v>
      </c>
      <c r="M14" s="3" t="s">
        <v>4</v>
      </c>
      <c r="N14" s="3" t="s">
        <v>9</v>
      </c>
      <c r="O14" s="3" t="s">
        <v>4</v>
      </c>
      <c r="P14" s="3" t="s">
        <v>18</v>
      </c>
      <c r="Q14" s="3" t="s">
        <v>4</v>
      </c>
      <c r="S14" s="11">
        <f t="shared" si="18"/>
        <v>15136</v>
      </c>
      <c r="T14" s="16">
        <f t="shared" si="0"/>
        <v>114</v>
      </c>
      <c r="U14" s="17">
        <f t="shared" si="1"/>
        <v>52</v>
      </c>
      <c r="V14" s="17">
        <f t="shared" si="2"/>
        <v>32</v>
      </c>
      <c r="W14" s="17">
        <f t="shared" si="3"/>
        <v>125</v>
      </c>
      <c r="X14" s="17">
        <f t="shared" si="4"/>
        <v>55</v>
      </c>
      <c r="Y14" s="17">
        <f t="shared" si="5"/>
        <v>96</v>
      </c>
      <c r="Z14" s="17">
        <f t="shared" si="6"/>
        <v>120</v>
      </c>
      <c r="AA14" s="18">
        <f t="shared" si="7"/>
        <v>58</v>
      </c>
      <c r="AB14" s="25">
        <f t="shared" si="8"/>
        <v>110</v>
      </c>
      <c r="AC14" s="26">
        <f t="shared" si="9"/>
        <v>58</v>
      </c>
      <c r="AD14" s="26">
        <f t="shared" si="10"/>
        <v>125</v>
      </c>
      <c r="AE14" s="26">
        <f t="shared" si="11"/>
        <v>58</v>
      </c>
      <c r="AF14" s="26">
        <f t="shared" si="12"/>
        <v>235</v>
      </c>
      <c r="AG14" s="26">
        <f t="shared" si="13"/>
        <v>58</v>
      </c>
      <c r="AH14" s="26">
        <f t="shared" si="14"/>
        <v>243</v>
      </c>
      <c r="AI14" s="27">
        <f t="shared" si="15"/>
        <v>58</v>
      </c>
      <c r="AJ14" s="31"/>
      <c r="AK14" s="33">
        <f t="shared" si="19"/>
        <v>15136</v>
      </c>
      <c r="AL14" s="17">
        <f t="shared" si="20"/>
        <v>114</v>
      </c>
      <c r="AM14" s="17">
        <f t="shared" si="21"/>
        <v>52</v>
      </c>
      <c r="AN14" s="17">
        <f t="shared" si="22"/>
        <v>32</v>
      </c>
      <c r="AO14" s="17">
        <f t="shared" si="23"/>
        <v>125</v>
      </c>
      <c r="AP14" s="17">
        <f t="shared" si="24"/>
        <v>55</v>
      </c>
      <c r="AQ14" s="17">
        <f t="shared" si="25"/>
        <v>96</v>
      </c>
      <c r="AR14" s="17">
        <f t="shared" si="26"/>
        <v>120</v>
      </c>
      <c r="AS14" s="17">
        <f t="shared" si="27"/>
        <v>58</v>
      </c>
      <c r="AT14" s="34">
        <f t="shared" si="28"/>
        <v>15788</v>
      </c>
      <c r="AU14" s="31"/>
      <c r="AV14">
        <f t="shared" si="44"/>
        <v>1626</v>
      </c>
      <c r="AW14" t="s">
        <v>5</v>
      </c>
      <c r="AX14" s="8" t="str">
        <f t="shared" si="29"/>
        <v>15136,114,52,32,125,55,96,120,58,15788</v>
      </c>
      <c r="AY14" s="31"/>
      <c r="AZ14" s="9" t="str">
        <f t="shared" si="30"/>
        <v>1626 DATA 15136,114,52,32,125,55,96,120,58,15788</v>
      </c>
      <c r="BA14" s="31"/>
      <c r="BB14" s="33">
        <f t="shared" si="31"/>
        <v>15144</v>
      </c>
      <c r="BC14" s="26">
        <f t="shared" si="32"/>
        <v>110</v>
      </c>
      <c r="BD14" s="26">
        <f t="shared" si="33"/>
        <v>58</v>
      </c>
      <c r="BE14" s="26">
        <f t="shared" si="34"/>
        <v>125</v>
      </c>
      <c r="BF14" s="26">
        <f t="shared" si="35"/>
        <v>58</v>
      </c>
      <c r="BG14" s="26">
        <f t="shared" si="36"/>
        <v>235</v>
      </c>
      <c r="BH14" s="26">
        <f t="shared" si="37"/>
        <v>58</v>
      </c>
      <c r="BI14" s="26">
        <f t="shared" si="38"/>
        <v>243</v>
      </c>
      <c r="BJ14" s="26">
        <f t="shared" si="39"/>
        <v>58</v>
      </c>
      <c r="BK14" s="34">
        <f t="shared" si="40"/>
        <v>16089</v>
      </c>
      <c r="BL14" s="31"/>
      <c r="BM14">
        <f t="shared" si="45"/>
        <v>1627</v>
      </c>
      <c r="BN14" t="s">
        <v>5</v>
      </c>
      <c r="BO14" s="8" t="str">
        <f t="shared" si="41"/>
        <v>15144,110,58,125,58,235,58,243,58,16089</v>
      </c>
      <c r="BP14"/>
      <c r="BQ14" s="9" t="str">
        <f t="shared" si="42"/>
        <v>1627 DATA 15144,110,58,125,58,235,58,243,58,16089</v>
      </c>
      <c r="BR14" s="31"/>
      <c r="BS14" s="31"/>
      <c r="BT14" t="s">
        <v>190</v>
      </c>
      <c r="BU14" t="s">
        <v>5</v>
      </c>
      <c r="BV14" s="8" t="str">
        <f t="shared" si="43"/>
        <v>243,58,16089,,1627,DATA,15144,110,58,125,58,235,58,243,58,16089,,1627 DATA 15144,110,58,125,58,235,58,243,58,16089,</v>
      </c>
    </row>
    <row r="15" spans="1:74">
      <c r="A15" s="1" t="s">
        <v>38</v>
      </c>
      <c r="B15" s="3" t="s">
        <v>39</v>
      </c>
      <c r="C15" s="3" t="s">
        <v>4</v>
      </c>
      <c r="D15" s="3">
        <v>50</v>
      </c>
      <c r="E15" s="3" t="s">
        <v>4</v>
      </c>
      <c r="F15" s="3">
        <v>58</v>
      </c>
      <c r="G15" s="3" t="s">
        <v>4</v>
      </c>
      <c r="H15" s="3">
        <v>63</v>
      </c>
      <c r="I15" s="3" t="s">
        <v>4</v>
      </c>
      <c r="J15" s="3">
        <v>78</v>
      </c>
      <c r="K15" s="3" t="s">
        <v>4</v>
      </c>
      <c r="L15" s="3" t="s">
        <v>40</v>
      </c>
      <c r="M15" s="3" t="s">
        <v>4</v>
      </c>
      <c r="N15" s="3" t="s">
        <v>3</v>
      </c>
      <c r="O15" s="3" t="s">
        <v>4</v>
      </c>
      <c r="P15" s="3" t="s">
        <v>41</v>
      </c>
      <c r="Q15" s="3" t="s">
        <v>4</v>
      </c>
      <c r="S15" s="11">
        <f t="shared" si="18"/>
        <v>15152</v>
      </c>
      <c r="T15" s="16">
        <f t="shared" si="0"/>
        <v>254</v>
      </c>
      <c r="U15" s="17">
        <f t="shared" si="1"/>
        <v>58</v>
      </c>
      <c r="V15" s="17">
        <f t="shared" si="2"/>
        <v>80</v>
      </c>
      <c r="W15" s="17">
        <f t="shared" si="3"/>
        <v>58</v>
      </c>
      <c r="X15" s="17">
        <f t="shared" si="4"/>
        <v>88</v>
      </c>
      <c r="Y15" s="17">
        <f t="shared" si="5"/>
        <v>58</v>
      </c>
      <c r="Z15" s="17">
        <f t="shared" si="6"/>
        <v>99</v>
      </c>
      <c r="AA15" s="18">
        <f t="shared" si="7"/>
        <v>58</v>
      </c>
      <c r="AB15" s="25">
        <f t="shared" si="8"/>
        <v>120</v>
      </c>
      <c r="AC15" s="26">
        <f t="shared" si="9"/>
        <v>58</v>
      </c>
      <c r="AD15" s="26">
        <f t="shared" si="10"/>
        <v>188</v>
      </c>
      <c r="AE15" s="26">
        <f t="shared" si="11"/>
        <v>58</v>
      </c>
      <c r="AF15" s="26">
        <f t="shared" si="12"/>
        <v>157</v>
      </c>
      <c r="AG15" s="26">
        <f t="shared" si="13"/>
        <v>58</v>
      </c>
      <c r="AH15" s="26">
        <f t="shared" si="14"/>
        <v>171</v>
      </c>
      <c r="AI15" s="27">
        <f t="shared" si="15"/>
        <v>58</v>
      </c>
      <c r="AJ15" s="31"/>
      <c r="AK15" s="33">
        <f t="shared" si="19"/>
        <v>15152</v>
      </c>
      <c r="AL15" s="17">
        <f t="shared" si="20"/>
        <v>254</v>
      </c>
      <c r="AM15" s="17">
        <f t="shared" si="21"/>
        <v>58</v>
      </c>
      <c r="AN15" s="17">
        <f t="shared" si="22"/>
        <v>80</v>
      </c>
      <c r="AO15" s="17">
        <f t="shared" si="23"/>
        <v>58</v>
      </c>
      <c r="AP15" s="17">
        <f t="shared" si="24"/>
        <v>88</v>
      </c>
      <c r="AQ15" s="17">
        <f t="shared" si="25"/>
        <v>58</v>
      </c>
      <c r="AR15" s="17">
        <f t="shared" si="26"/>
        <v>99</v>
      </c>
      <c r="AS15" s="17">
        <f t="shared" si="27"/>
        <v>58</v>
      </c>
      <c r="AT15" s="34">
        <f t="shared" si="28"/>
        <v>15905</v>
      </c>
      <c r="AU15" s="31"/>
      <c r="AV15">
        <f t="shared" si="44"/>
        <v>1628</v>
      </c>
      <c r="AW15" t="s">
        <v>5</v>
      </c>
      <c r="AX15" s="8" t="str">
        <f t="shared" si="29"/>
        <v>15152,254,58,80,58,88,58,99,58,15905</v>
      </c>
      <c r="AY15" s="31"/>
      <c r="AZ15" s="9" t="str">
        <f t="shared" si="30"/>
        <v>1628 DATA 15152,254,58,80,58,88,58,99,58,15905</v>
      </c>
      <c r="BA15" s="31"/>
      <c r="BB15" s="33">
        <f t="shared" si="31"/>
        <v>15160</v>
      </c>
      <c r="BC15" s="26">
        <f t="shared" si="32"/>
        <v>120</v>
      </c>
      <c r="BD15" s="26">
        <f t="shared" si="33"/>
        <v>58</v>
      </c>
      <c r="BE15" s="26">
        <f t="shared" si="34"/>
        <v>188</v>
      </c>
      <c r="BF15" s="26">
        <f t="shared" si="35"/>
        <v>58</v>
      </c>
      <c r="BG15" s="26">
        <f t="shared" si="36"/>
        <v>157</v>
      </c>
      <c r="BH15" s="26">
        <f t="shared" si="37"/>
        <v>58</v>
      </c>
      <c r="BI15" s="26">
        <f t="shared" si="38"/>
        <v>171</v>
      </c>
      <c r="BJ15" s="26">
        <f t="shared" si="39"/>
        <v>58</v>
      </c>
      <c r="BK15" s="34">
        <f t="shared" si="40"/>
        <v>16028</v>
      </c>
      <c r="BL15" s="31"/>
      <c r="BM15">
        <f t="shared" si="45"/>
        <v>1629</v>
      </c>
      <c r="BN15" t="s">
        <v>5</v>
      </c>
      <c r="BO15" s="8" t="str">
        <f t="shared" si="41"/>
        <v>15160,120,58,188,58,157,58,171,58,16028</v>
      </c>
      <c r="BP15"/>
      <c r="BQ15" s="9" t="str">
        <f t="shared" si="42"/>
        <v>1629 DATA 15160,120,58,188,58,157,58,171,58,16028</v>
      </c>
      <c r="BR15" s="31"/>
      <c r="BS15" s="31"/>
      <c r="BT15" t="s">
        <v>191</v>
      </c>
      <c r="BU15" t="s">
        <v>5</v>
      </c>
      <c r="BV15" s="8" t="str">
        <f t="shared" si="43"/>
        <v>171,58,16028,,1629,DATA,15160,120,58,188,58,157,58,171,58,16028,,1629 DATA 15160,120,58,188,58,157,58,171,58,16028,</v>
      </c>
    </row>
    <row r="16" spans="1:74">
      <c r="A16" s="1" t="s">
        <v>42</v>
      </c>
      <c r="B16" s="3" t="s">
        <v>43</v>
      </c>
      <c r="C16" s="3" t="s">
        <v>4</v>
      </c>
      <c r="D16" s="3">
        <v>9</v>
      </c>
      <c r="E16" s="3" t="s">
        <v>44</v>
      </c>
      <c r="S16" s="11">
        <f t="shared" si="18"/>
        <v>15168</v>
      </c>
      <c r="T16" s="16">
        <f t="shared" si="0"/>
        <v>143</v>
      </c>
      <c r="U16" s="17">
        <f t="shared" si="1"/>
        <v>58</v>
      </c>
      <c r="V16" s="17">
        <f t="shared" si="2"/>
        <v>9</v>
      </c>
      <c r="W16" s="17">
        <f t="shared" si="3"/>
        <v>59</v>
      </c>
      <c r="X16" s="17">
        <f t="shared" si="4"/>
        <v>0</v>
      </c>
      <c r="Y16" s="17">
        <f t="shared" si="5"/>
        <v>0</v>
      </c>
      <c r="Z16" s="17">
        <f t="shared" si="6"/>
        <v>0</v>
      </c>
      <c r="AA16" s="18">
        <f t="shared" si="7"/>
        <v>0</v>
      </c>
      <c r="AB16" s="25">
        <f t="shared" si="8"/>
        <v>0</v>
      </c>
      <c r="AC16" s="26">
        <f t="shared" si="9"/>
        <v>0</v>
      </c>
      <c r="AD16" s="26">
        <f t="shared" si="10"/>
        <v>0</v>
      </c>
      <c r="AE16" s="26">
        <f t="shared" si="11"/>
        <v>0</v>
      </c>
      <c r="AF16" s="26">
        <f t="shared" si="12"/>
        <v>0</v>
      </c>
      <c r="AG16" s="26">
        <f t="shared" si="13"/>
        <v>0</v>
      </c>
      <c r="AH16" s="26">
        <f t="shared" si="14"/>
        <v>0</v>
      </c>
      <c r="AI16" s="27">
        <f t="shared" si="15"/>
        <v>0</v>
      </c>
      <c r="AJ16" s="31"/>
      <c r="AK16" s="33">
        <f t="shared" si="19"/>
        <v>15168</v>
      </c>
      <c r="AL16" s="17">
        <f t="shared" si="20"/>
        <v>143</v>
      </c>
      <c r="AM16" s="17">
        <f t="shared" si="21"/>
        <v>58</v>
      </c>
      <c r="AN16" s="17">
        <f t="shared" si="22"/>
        <v>9</v>
      </c>
      <c r="AO16" s="17">
        <f t="shared" si="23"/>
        <v>59</v>
      </c>
      <c r="AP16" s="17">
        <f t="shared" si="24"/>
        <v>0</v>
      </c>
      <c r="AQ16" s="17">
        <f t="shared" si="25"/>
        <v>0</v>
      </c>
      <c r="AR16" s="17">
        <f t="shared" si="26"/>
        <v>0</v>
      </c>
      <c r="AS16" s="17">
        <f t="shared" si="27"/>
        <v>0</v>
      </c>
      <c r="AT16" s="34">
        <f t="shared" si="28"/>
        <v>15437</v>
      </c>
      <c r="AU16" s="31"/>
      <c r="AV16">
        <f t="shared" si="44"/>
        <v>1630</v>
      </c>
      <c r="AW16" t="s">
        <v>5</v>
      </c>
      <c r="AX16" s="8" t="str">
        <f t="shared" si="29"/>
        <v>15168,143,58,9,59,0,0,0,0,15437</v>
      </c>
      <c r="AY16" s="31"/>
      <c r="AZ16" s="9" t="str">
        <f t="shared" si="30"/>
        <v>1630 DATA 15168,143,58,9,59,0,0,0,0,15437</v>
      </c>
      <c r="BA16" s="31"/>
      <c r="BB16" s="33">
        <f t="shared" si="31"/>
        <v>15176</v>
      </c>
      <c r="BC16" s="26">
        <f t="shared" si="32"/>
        <v>0</v>
      </c>
      <c r="BD16" s="26">
        <f t="shared" si="33"/>
        <v>0</v>
      </c>
      <c r="BE16" s="26">
        <f t="shared" si="34"/>
        <v>0</v>
      </c>
      <c r="BF16" s="26">
        <f t="shared" si="35"/>
        <v>0</v>
      </c>
      <c r="BG16" s="26">
        <f t="shared" si="36"/>
        <v>0</v>
      </c>
      <c r="BH16" s="26">
        <f t="shared" si="37"/>
        <v>0</v>
      </c>
      <c r="BI16" s="26">
        <f t="shared" si="38"/>
        <v>0</v>
      </c>
      <c r="BJ16" s="26">
        <f t="shared" si="39"/>
        <v>0</v>
      </c>
      <c r="BK16" s="34">
        <f t="shared" si="40"/>
        <v>15176</v>
      </c>
      <c r="BL16" s="31"/>
      <c r="BM16">
        <f t="shared" si="45"/>
        <v>1631</v>
      </c>
      <c r="BN16" t="s">
        <v>5</v>
      </c>
      <c r="BO16" s="8" t="str">
        <f t="shared" si="41"/>
        <v>15176,0,0,0,0,0,0,0,0,15176</v>
      </c>
      <c r="BP16"/>
      <c r="BQ16" s="9" t="str">
        <f t="shared" si="42"/>
        <v>1631 DATA 15176,0,0,0,0,0,0,0,0,15176</v>
      </c>
      <c r="BR16" s="31"/>
      <c r="BS16" s="31"/>
      <c r="BT16" t="s">
        <v>192</v>
      </c>
      <c r="BU16" t="s">
        <v>5</v>
      </c>
      <c r="BV16" s="8" t="str">
        <f t="shared" si="43"/>
        <v>0,0,15176,,1631,DATA,15176,0,0,0,0,0,0,0,0,15176,,1631 DATA 15176,0,0,0,0,0,0,0,0,15176,</v>
      </c>
    </row>
    <row r="17" spans="1:72">
      <c r="A17" s="1"/>
      <c r="S17" s="11">
        <f t="shared" si="18"/>
        <v>0</v>
      </c>
      <c r="T17" s="16">
        <f t="shared" si="0"/>
        <v>0</v>
      </c>
      <c r="U17" s="17">
        <f t="shared" si="1"/>
        <v>0</v>
      </c>
      <c r="V17" s="17">
        <f t="shared" si="2"/>
        <v>0</v>
      </c>
      <c r="W17" s="17">
        <f t="shared" si="3"/>
        <v>0</v>
      </c>
      <c r="X17" s="17">
        <f t="shared" si="4"/>
        <v>0</v>
      </c>
      <c r="Y17" s="17">
        <f t="shared" si="5"/>
        <v>0</v>
      </c>
      <c r="Z17" s="17">
        <f t="shared" si="6"/>
        <v>0</v>
      </c>
      <c r="AA17" s="18">
        <f t="shared" si="7"/>
        <v>0</v>
      </c>
      <c r="AB17" s="25">
        <f t="shared" si="8"/>
        <v>0</v>
      </c>
      <c r="AC17" s="26">
        <f t="shared" si="9"/>
        <v>0</v>
      </c>
      <c r="AD17" s="26">
        <f t="shared" si="10"/>
        <v>0</v>
      </c>
      <c r="AE17" s="26">
        <f t="shared" si="11"/>
        <v>0</v>
      </c>
      <c r="AF17" s="26">
        <f t="shared" si="12"/>
        <v>0</v>
      </c>
      <c r="AG17" s="26">
        <f t="shared" si="13"/>
        <v>0</v>
      </c>
      <c r="AH17" s="26">
        <f t="shared" si="14"/>
        <v>0</v>
      </c>
      <c r="AI17" s="27">
        <f t="shared" si="15"/>
        <v>0</v>
      </c>
      <c r="AJ17" s="31"/>
      <c r="AK17" s="33">
        <f t="shared" si="19"/>
        <v>0</v>
      </c>
      <c r="AL17" s="17">
        <f t="shared" si="20"/>
        <v>0</v>
      </c>
      <c r="AM17" s="17">
        <f t="shared" si="21"/>
        <v>0</v>
      </c>
      <c r="AN17" s="17">
        <f t="shared" si="22"/>
        <v>0</v>
      </c>
      <c r="AO17" s="17">
        <f t="shared" si="23"/>
        <v>0</v>
      </c>
      <c r="AP17" s="17">
        <f t="shared" si="24"/>
        <v>0</v>
      </c>
      <c r="AQ17" s="17">
        <f t="shared" si="25"/>
        <v>0</v>
      </c>
      <c r="AR17" s="17">
        <f t="shared" si="26"/>
        <v>0</v>
      </c>
      <c r="AS17" s="17">
        <f t="shared" si="27"/>
        <v>0</v>
      </c>
      <c r="AT17" s="34">
        <f t="shared" si="28"/>
        <v>0</v>
      </c>
      <c r="AU17" s="31"/>
      <c r="AV17">
        <f t="shared" si="44"/>
        <v>1632</v>
      </c>
      <c r="AW17" t="s">
        <v>5</v>
      </c>
      <c r="AX17" s="8" t="str">
        <f t="shared" si="29"/>
        <v>0,0,0,0,0,0,0,0,0,0</v>
      </c>
      <c r="AY17" s="31"/>
      <c r="AZ17" s="9" t="str">
        <f t="shared" si="30"/>
        <v>1632 DATA 0,0,0,0,0,0,0,0,0,0</v>
      </c>
      <c r="BA17" s="31"/>
      <c r="BB17" s="33">
        <f t="shared" si="31"/>
        <v>8</v>
      </c>
      <c r="BC17" s="26">
        <f t="shared" si="32"/>
        <v>0</v>
      </c>
      <c r="BD17" s="26">
        <f t="shared" si="33"/>
        <v>0</v>
      </c>
      <c r="BE17" s="26">
        <f t="shared" si="34"/>
        <v>0</v>
      </c>
      <c r="BF17" s="26">
        <f t="shared" si="35"/>
        <v>0</v>
      </c>
      <c r="BG17" s="26">
        <f t="shared" si="36"/>
        <v>0</v>
      </c>
      <c r="BH17" s="26">
        <f t="shared" si="37"/>
        <v>0</v>
      </c>
      <c r="BI17" s="26">
        <f t="shared" si="38"/>
        <v>0</v>
      </c>
      <c r="BJ17" s="26">
        <f t="shared" si="39"/>
        <v>0</v>
      </c>
      <c r="BK17" s="34">
        <f t="shared" si="40"/>
        <v>8</v>
      </c>
      <c r="BL17" s="31"/>
      <c r="BM17">
        <f t="shared" si="45"/>
        <v>1633</v>
      </c>
      <c r="BN17" t="s">
        <v>5</v>
      </c>
      <c r="BO17" s="8" t="str">
        <f t="shared" si="41"/>
        <v>8,0,0,0,0,0,0,0,0,8</v>
      </c>
      <c r="BP17"/>
      <c r="BQ17" s="9" t="str">
        <f t="shared" si="42"/>
        <v>1633 DATA 8,0,0,0,0,0,0,0,0,8</v>
      </c>
      <c r="BR17" s="31"/>
      <c r="BS17" s="31"/>
      <c r="BT17" s="31" t="s">
        <v>193</v>
      </c>
    </row>
    <row r="18" spans="1:72">
      <c r="A18" s="1"/>
      <c r="S18" s="11">
        <f t="shared" si="18"/>
        <v>0</v>
      </c>
      <c r="T18" s="16">
        <f t="shared" si="0"/>
        <v>0</v>
      </c>
      <c r="U18" s="17">
        <f t="shared" si="1"/>
        <v>0</v>
      </c>
      <c r="V18" s="17">
        <f t="shared" si="2"/>
        <v>0</v>
      </c>
      <c r="W18" s="17">
        <f t="shared" si="3"/>
        <v>0</v>
      </c>
      <c r="X18" s="17">
        <f t="shared" si="4"/>
        <v>0</v>
      </c>
      <c r="Y18" s="17">
        <f t="shared" si="5"/>
        <v>0</v>
      </c>
      <c r="Z18" s="17">
        <f t="shared" si="6"/>
        <v>0</v>
      </c>
      <c r="AA18" s="18">
        <f t="shared" si="7"/>
        <v>0</v>
      </c>
      <c r="AB18" s="25">
        <f t="shared" si="8"/>
        <v>0</v>
      </c>
      <c r="AC18" s="26">
        <f t="shared" si="9"/>
        <v>0</v>
      </c>
      <c r="AD18" s="26">
        <f t="shared" si="10"/>
        <v>0</v>
      </c>
      <c r="AE18" s="26">
        <f t="shared" si="11"/>
        <v>0</v>
      </c>
      <c r="AF18" s="26">
        <f t="shared" si="12"/>
        <v>0</v>
      </c>
      <c r="AG18" s="26">
        <f t="shared" si="13"/>
        <v>0</v>
      </c>
      <c r="AH18" s="26">
        <f t="shared" si="14"/>
        <v>0</v>
      </c>
      <c r="AI18" s="27">
        <f t="shared" si="15"/>
        <v>0</v>
      </c>
      <c r="AJ18" s="31"/>
      <c r="AK18" s="33">
        <f t="shared" si="19"/>
        <v>0</v>
      </c>
      <c r="AL18" s="17">
        <f t="shared" si="20"/>
        <v>0</v>
      </c>
      <c r="AM18" s="17">
        <f t="shared" si="21"/>
        <v>0</v>
      </c>
      <c r="AN18" s="17">
        <f t="shared" si="22"/>
        <v>0</v>
      </c>
      <c r="AO18" s="17">
        <f t="shared" si="23"/>
        <v>0</v>
      </c>
      <c r="AP18" s="17">
        <f t="shared" si="24"/>
        <v>0</v>
      </c>
      <c r="AQ18" s="17">
        <f t="shared" si="25"/>
        <v>0</v>
      </c>
      <c r="AR18" s="17">
        <f t="shared" si="26"/>
        <v>0</v>
      </c>
      <c r="AS18" s="17">
        <f t="shared" si="27"/>
        <v>0</v>
      </c>
      <c r="AT18" s="34">
        <f t="shared" si="28"/>
        <v>0</v>
      </c>
      <c r="AU18" s="31"/>
      <c r="AV18">
        <f t="shared" si="44"/>
        <v>1634</v>
      </c>
      <c r="AW18" t="s">
        <v>5</v>
      </c>
      <c r="AX18" s="8" t="str">
        <f t="shared" si="29"/>
        <v>0,0,0,0,0,0,0,0,0,0</v>
      </c>
      <c r="AY18" s="31"/>
      <c r="AZ18" s="9" t="str">
        <f t="shared" si="30"/>
        <v>1634 DATA 0,0,0,0,0,0,0,0,0,0</v>
      </c>
      <c r="BA18" s="31"/>
      <c r="BB18" s="33">
        <f t="shared" si="31"/>
        <v>8</v>
      </c>
      <c r="BC18" s="26">
        <f t="shared" si="32"/>
        <v>0</v>
      </c>
      <c r="BD18" s="26">
        <f t="shared" si="33"/>
        <v>0</v>
      </c>
      <c r="BE18" s="26">
        <f t="shared" si="34"/>
        <v>0</v>
      </c>
      <c r="BF18" s="26">
        <f t="shared" si="35"/>
        <v>0</v>
      </c>
      <c r="BG18" s="26">
        <f t="shared" si="36"/>
        <v>0</v>
      </c>
      <c r="BH18" s="26">
        <f t="shared" si="37"/>
        <v>0</v>
      </c>
      <c r="BI18" s="26">
        <f t="shared" si="38"/>
        <v>0</v>
      </c>
      <c r="BJ18" s="26">
        <f t="shared" si="39"/>
        <v>0</v>
      </c>
      <c r="BK18" s="34">
        <f t="shared" si="40"/>
        <v>8</v>
      </c>
      <c r="BL18" s="31"/>
      <c r="BM18">
        <f t="shared" si="45"/>
        <v>1635</v>
      </c>
      <c r="BN18" t="s">
        <v>5</v>
      </c>
      <c r="BO18" s="8" t="str">
        <f t="shared" si="41"/>
        <v>8,0,0,0,0,0,0,0,0,8</v>
      </c>
      <c r="BP18"/>
      <c r="BQ18" s="9" t="str">
        <f t="shared" si="42"/>
        <v>1635 DATA 8,0,0,0,0,0,0,0,0,8</v>
      </c>
      <c r="BR18" s="31"/>
      <c r="BS18" s="31"/>
      <c r="BT18" s="31" t="s">
        <v>194</v>
      </c>
    </row>
    <row r="19" spans="1:72">
      <c r="A19" s="1"/>
      <c r="S19" s="11">
        <f t="shared" si="18"/>
        <v>0</v>
      </c>
      <c r="T19" s="16">
        <f t="shared" si="0"/>
        <v>0</v>
      </c>
      <c r="U19" s="17">
        <f t="shared" si="1"/>
        <v>0</v>
      </c>
      <c r="V19" s="17">
        <f t="shared" si="2"/>
        <v>0</v>
      </c>
      <c r="W19" s="17">
        <f t="shared" si="3"/>
        <v>0</v>
      </c>
      <c r="X19" s="17">
        <f t="shared" si="4"/>
        <v>0</v>
      </c>
      <c r="Y19" s="17">
        <f t="shared" si="5"/>
        <v>0</v>
      </c>
      <c r="Z19" s="17">
        <f t="shared" si="6"/>
        <v>0</v>
      </c>
      <c r="AA19" s="18">
        <f t="shared" si="7"/>
        <v>0</v>
      </c>
      <c r="AB19" s="25">
        <f t="shared" si="8"/>
        <v>0</v>
      </c>
      <c r="AC19" s="26">
        <f t="shared" si="9"/>
        <v>0</v>
      </c>
      <c r="AD19" s="26">
        <f t="shared" si="10"/>
        <v>0</v>
      </c>
      <c r="AE19" s="26">
        <f t="shared" si="11"/>
        <v>0</v>
      </c>
      <c r="AF19" s="26">
        <f t="shared" si="12"/>
        <v>0</v>
      </c>
      <c r="AG19" s="26">
        <f t="shared" si="13"/>
        <v>0</v>
      </c>
      <c r="AH19" s="26">
        <f t="shared" si="14"/>
        <v>0</v>
      </c>
      <c r="AI19" s="27">
        <f t="shared" si="15"/>
        <v>0</v>
      </c>
      <c r="AJ19" s="31"/>
      <c r="AK19" s="33">
        <f t="shared" si="19"/>
        <v>0</v>
      </c>
      <c r="AL19" s="17">
        <f t="shared" si="20"/>
        <v>0</v>
      </c>
      <c r="AM19" s="17">
        <f t="shared" si="21"/>
        <v>0</v>
      </c>
      <c r="AN19" s="17">
        <f t="shared" si="22"/>
        <v>0</v>
      </c>
      <c r="AO19" s="17">
        <f t="shared" si="23"/>
        <v>0</v>
      </c>
      <c r="AP19" s="17">
        <f t="shared" si="24"/>
        <v>0</v>
      </c>
      <c r="AQ19" s="17">
        <f t="shared" si="25"/>
        <v>0</v>
      </c>
      <c r="AR19" s="17">
        <f t="shared" si="26"/>
        <v>0</v>
      </c>
      <c r="AS19" s="17">
        <f t="shared" si="27"/>
        <v>0</v>
      </c>
      <c r="AT19" s="34">
        <f t="shared" si="28"/>
        <v>0</v>
      </c>
      <c r="AU19" s="31"/>
      <c r="AV19">
        <f t="shared" si="44"/>
        <v>1636</v>
      </c>
      <c r="AW19" t="s">
        <v>5</v>
      </c>
      <c r="AX19" s="8" t="str">
        <f t="shared" si="29"/>
        <v>0,0,0,0,0,0,0,0,0,0</v>
      </c>
      <c r="AY19" s="31"/>
      <c r="AZ19" s="9" t="str">
        <f t="shared" si="30"/>
        <v>1636 DATA 0,0,0,0,0,0,0,0,0,0</v>
      </c>
      <c r="BA19" s="31"/>
      <c r="BB19" s="33">
        <f t="shared" si="31"/>
        <v>8</v>
      </c>
      <c r="BC19" s="26">
        <f t="shared" si="32"/>
        <v>0</v>
      </c>
      <c r="BD19" s="26">
        <f t="shared" si="33"/>
        <v>0</v>
      </c>
      <c r="BE19" s="26">
        <f t="shared" si="34"/>
        <v>0</v>
      </c>
      <c r="BF19" s="26">
        <f t="shared" si="35"/>
        <v>0</v>
      </c>
      <c r="BG19" s="26">
        <f t="shared" si="36"/>
        <v>0</v>
      </c>
      <c r="BH19" s="26">
        <f t="shared" si="37"/>
        <v>0</v>
      </c>
      <c r="BI19" s="26">
        <f t="shared" si="38"/>
        <v>0</v>
      </c>
      <c r="BJ19" s="26">
        <f t="shared" si="39"/>
        <v>0</v>
      </c>
      <c r="BK19" s="34">
        <f t="shared" si="40"/>
        <v>8</v>
      </c>
      <c r="BL19" s="31"/>
      <c r="BM19">
        <f t="shared" si="45"/>
        <v>1637</v>
      </c>
      <c r="BN19" t="s">
        <v>5</v>
      </c>
      <c r="BO19" s="8" t="str">
        <f t="shared" si="41"/>
        <v>8,0,0,0,0,0,0,0,0,8</v>
      </c>
      <c r="BP19"/>
      <c r="BQ19" s="9" t="str">
        <f t="shared" si="42"/>
        <v>1637 DATA 8,0,0,0,0,0,0,0,0,8</v>
      </c>
      <c r="BR19" s="31"/>
      <c r="BS19" s="31"/>
      <c r="BT19" s="31" t="s">
        <v>195</v>
      </c>
    </row>
    <row r="20" spans="1:72">
      <c r="A20" s="1"/>
      <c r="S20" s="11">
        <f t="shared" si="18"/>
        <v>0</v>
      </c>
      <c r="T20" s="16">
        <f t="shared" si="0"/>
        <v>0</v>
      </c>
      <c r="U20" s="17">
        <f t="shared" si="1"/>
        <v>0</v>
      </c>
      <c r="V20" s="17">
        <f t="shared" si="2"/>
        <v>0</v>
      </c>
      <c r="W20" s="17">
        <f t="shared" si="3"/>
        <v>0</v>
      </c>
      <c r="X20" s="17">
        <f t="shared" si="4"/>
        <v>0</v>
      </c>
      <c r="Y20" s="17">
        <f t="shared" si="5"/>
        <v>0</v>
      </c>
      <c r="Z20" s="17">
        <f t="shared" si="6"/>
        <v>0</v>
      </c>
      <c r="AA20" s="18">
        <f t="shared" si="7"/>
        <v>0</v>
      </c>
      <c r="AB20" s="25">
        <f t="shared" si="8"/>
        <v>0</v>
      </c>
      <c r="AC20" s="26">
        <f t="shared" si="9"/>
        <v>0</v>
      </c>
      <c r="AD20" s="26">
        <f t="shared" si="10"/>
        <v>0</v>
      </c>
      <c r="AE20" s="26">
        <f t="shared" si="11"/>
        <v>0</v>
      </c>
      <c r="AF20" s="26">
        <f t="shared" si="12"/>
        <v>0</v>
      </c>
      <c r="AG20" s="26">
        <f t="shared" si="13"/>
        <v>0</v>
      </c>
      <c r="AH20" s="26">
        <f t="shared" si="14"/>
        <v>0</v>
      </c>
      <c r="AI20" s="27">
        <f t="shared" si="15"/>
        <v>0</v>
      </c>
      <c r="AJ20" s="31"/>
      <c r="AK20" s="33">
        <f t="shared" si="19"/>
        <v>0</v>
      </c>
      <c r="AL20" s="17">
        <f t="shared" si="20"/>
        <v>0</v>
      </c>
      <c r="AM20" s="17">
        <f t="shared" si="21"/>
        <v>0</v>
      </c>
      <c r="AN20" s="17">
        <f t="shared" si="22"/>
        <v>0</v>
      </c>
      <c r="AO20" s="17">
        <f t="shared" si="23"/>
        <v>0</v>
      </c>
      <c r="AP20" s="17">
        <f t="shared" si="24"/>
        <v>0</v>
      </c>
      <c r="AQ20" s="17">
        <f t="shared" si="25"/>
        <v>0</v>
      </c>
      <c r="AR20" s="17">
        <f t="shared" si="26"/>
        <v>0</v>
      </c>
      <c r="AS20" s="17">
        <f t="shared" si="27"/>
        <v>0</v>
      </c>
      <c r="AT20" s="34">
        <f t="shared" si="28"/>
        <v>0</v>
      </c>
      <c r="AU20" s="31"/>
      <c r="AV20">
        <f t="shared" si="44"/>
        <v>1638</v>
      </c>
      <c r="AW20" t="s">
        <v>5</v>
      </c>
      <c r="AX20" s="8" t="str">
        <f t="shared" si="29"/>
        <v>0,0,0,0,0,0,0,0,0,0</v>
      </c>
      <c r="AY20" s="31"/>
      <c r="AZ20" s="9" t="str">
        <f t="shared" si="30"/>
        <v>1638 DATA 0,0,0,0,0,0,0,0,0,0</v>
      </c>
      <c r="BA20" s="31"/>
      <c r="BB20" s="33">
        <f t="shared" si="31"/>
        <v>8</v>
      </c>
      <c r="BC20" s="26">
        <f t="shared" si="32"/>
        <v>0</v>
      </c>
      <c r="BD20" s="26">
        <f t="shared" si="33"/>
        <v>0</v>
      </c>
      <c r="BE20" s="26">
        <f t="shared" si="34"/>
        <v>0</v>
      </c>
      <c r="BF20" s="26">
        <f t="shared" si="35"/>
        <v>0</v>
      </c>
      <c r="BG20" s="26">
        <f t="shared" si="36"/>
        <v>0</v>
      </c>
      <c r="BH20" s="26">
        <f t="shared" si="37"/>
        <v>0</v>
      </c>
      <c r="BI20" s="26">
        <f t="shared" si="38"/>
        <v>0</v>
      </c>
      <c r="BJ20" s="26">
        <f t="shared" si="39"/>
        <v>0</v>
      </c>
      <c r="BK20" s="34">
        <f t="shared" si="40"/>
        <v>8</v>
      </c>
      <c r="BL20" s="31"/>
      <c r="BM20">
        <f t="shared" si="45"/>
        <v>1639</v>
      </c>
      <c r="BN20" t="s">
        <v>5</v>
      </c>
      <c r="BO20" s="8" t="str">
        <f t="shared" si="41"/>
        <v>8,0,0,0,0,0,0,0,0,8</v>
      </c>
      <c r="BP20"/>
      <c r="BQ20" s="9" t="str">
        <f t="shared" si="42"/>
        <v>1639 DATA 8,0,0,0,0,0,0,0,0,8</v>
      </c>
      <c r="BR20" s="31"/>
      <c r="BS20" s="31"/>
      <c r="BT20" s="31" t="s">
        <v>196</v>
      </c>
    </row>
    <row r="21" spans="1:72">
      <c r="A21" s="1"/>
      <c r="S21" s="11">
        <f t="shared" si="18"/>
        <v>0</v>
      </c>
      <c r="T21" s="16">
        <f t="shared" si="0"/>
        <v>0</v>
      </c>
      <c r="U21" s="17">
        <f t="shared" si="1"/>
        <v>0</v>
      </c>
      <c r="V21" s="17">
        <f t="shared" si="2"/>
        <v>0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0</v>
      </c>
      <c r="AL21" s="17">
        <f t="shared" si="20"/>
        <v>0</v>
      </c>
      <c r="AM21" s="17">
        <f t="shared" si="21"/>
        <v>0</v>
      </c>
      <c r="AN21" s="17">
        <f t="shared" si="22"/>
        <v>0</v>
      </c>
      <c r="AO21" s="17">
        <f t="shared" si="23"/>
        <v>0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0</v>
      </c>
      <c r="AU21" s="31"/>
      <c r="AV21">
        <f t="shared" si="44"/>
        <v>1640</v>
      </c>
      <c r="AW21" t="s">
        <v>5</v>
      </c>
      <c r="AX21" s="8" t="str">
        <f t="shared" si="29"/>
        <v>0,0,0,0,0,0,0,0,0,0</v>
      </c>
      <c r="AY21" s="31"/>
      <c r="AZ21" s="9" t="str">
        <f t="shared" si="30"/>
        <v>1640 DATA 0,0,0,0,0,0,0,0,0,0</v>
      </c>
      <c r="BA21" s="31"/>
      <c r="BB21" s="33">
        <f t="shared" si="31"/>
        <v>8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8</v>
      </c>
      <c r="BL21" s="31"/>
      <c r="BM21">
        <f t="shared" si="45"/>
        <v>1641</v>
      </c>
      <c r="BN21" t="s">
        <v>5</v>
      </c>
      <c r="BO21" s="8" t="str">
        <f t="shared" si="41"/>
        <v>8,0,0,0,0,0,0,0,0,8</v>
      </c>
      <c r="BP21"/>
      <c r="BQ21" s="9" t="str">
        <f t="shared" si="42"/>
        <v>1641 DATA 8,0,0,0,0,0,0,0,0,8</v>
      </c>
      <c r="BR21" s="31"/>
      <c r="BS21" s="31"/>
      <c r="BT21" s="31" t="s">
        <v>197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4"/>
        <v>1642</v>
      </c>
      <c r="AW22" t="s">
        <v>5</v>
      </c>
      <c r="AX22" s="8" t="str">
        <f t="shared" si="29"/>
        <v>0,0,0,0,0,0,0,0,0,0</v>
      </c>
      <c r="AY22" s="31"/>
      <c r="AZ22" s="9" t="str">
        <f t="shared" si="30"/>
        <v>1642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5"/>
        <v>1643</v>
      </c>
      <c r="BN22" t="s">
        <v>5</v>
      </c>
      <c r="BO22" s="8" t="str">
        <f t="shared" si="41"/>
        <v>8,0,0,0,0,0,0,0,0,8</v>
      </c>
      <c r="BP22"/>
      <c r="BQ22" s="9" t="str">
        <f t="shared" si="42"/>
        <v>1643 DATA 8,0,0,0,0,0,0,0,0,8</v>
      </c>
      <c r="BR22" s="31"/>
      <c r="BS22" s="31"/>
      <c r="BT22" s="31" t="s">
        <v>198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4"/>
        <v>1644</v>
      </c>
      <c r="AW23" t="s">
        <v>5</v>
      </c>
      <c r="AX23" s="8" t="str">
        <f t="shared" si="29"/>
        <v>0,0,0,0,0,0,0,0,0,0</v>
      </c>
      <c r="AY23" s="31"/>
      <c r="AZ23" s="9" t="str">
        <f t="shared" si="30"/>
        <v>1644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5"/>
        <v>1645</v>
      </c>
      <c r="BN23" t="s">
        <v>5</v>
      </c>
      <c r="BO23" s="8" t="str">
        <f t="shared" si="41"/>
        <v>8,0,0,0,0,0,0,0,0,8</v>
      </c>
      <c r="BP23"/>
      <c r="BQ23" s="9" t="str">
        <f t="shared" si="42"/>
        <v>1645 DATA 8,0,0,0,0,0,0,0,0,8</v>
      </c>
      <c r="BR23" s="31"/>
      <c r="BS23" s="31"/>
      <c r="BT23" s="31" t="s">
        <v>199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4"/>
        <v>1646</v>
      </c>
      <c r="AW24" t="s">
        <v>5</v>
      </c>
      <c r="AX24" s="8" t="str">
        <f t="shared" si="29"/>
        <v>0,0,0,0,0,0,0,0,0,0</v>
      </c>
      <c r="AY24" s="31"/>
      <c r="AZ24" s="9" t="str">
        <f t="shared" si="30"/>
        <v>1646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5"/>
        <v>1647</v>
      </c>
      <c r="BN24" t="s">
        <v>5</v>
      </c>
      <c r="BO24" s="8" t="str">
        <f t="shared" si="41"/>
        <v>8,0,0,0,0,0,0,0,0,8</v>
      </c>
      <c r="BP24"/>
      <c r="BQ24" s="9" t="str">
        <f t="shared" si="42"/>
        <v>1647 DATA 8,0,0,0,0,0,0,0,0,8</v>
      </c>
      <c r="BR24" s="31"/>
      <c r="BS24" s="31"/>
      <c r="BT24" s="31" t="s">
        <v>200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4"/>
        <v>1648</v>
      </c>
      <c r="AW25" t="s">
        <v>5</v>
      </c>
      <c r="AX25" s="8" t="str">
        <f t="shared" si="29"/>
        <v>0,0,0,0,0,0,0,0,0,0</v>
      </c>
      <c r="AY25" s="31"/>
      <c r="AZ25" s="9" t="str">
        <f t="shared" si="30"/>
        <v>1648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5"/>
        <v>1649</v>
      </c>
      <c r="BN25" t="s">
        <v>5</v>
      </c>
      <c r="BO25" s="8" t="str">
        <f t="shared" si="41"/>
        <v>8,0,0,0,0,0,0,0,0,8</v>
      </c>
      <c r="BP25"/>
      <c r="BQ25" s="9" t="str">
        <f t="shared" si="42"/>
        <v>1649 DATA 8,0,0,0,0,0,0,0,0,8</v>
      </c>
      <c r="BR25" s="31"/>
      <c r="BS25" s="31"/>
      <c r="BT25" s="31" t="s">
        <v>201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4"/>
        <v>1650</v>
      </c>
      <c r="AW26" t="s">
        <v>5</v>
      </c>
      <c r="AX26" s="8" t="str">
        <f t="shared" si="29"/>
        <v>0,0,0,0,0,0,0,0,0,0</v>
      </c>
      <c r="AY26" s="31"/>
      <c r="AZ26" s="9" t="str">
        <f t="shared" si="30"/>
        <v>1650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5"/>
        <v>1651</v>
      </c>
      <c r="BN26" t="s">
        <v>5</v>
      </c>
      <c r="BO26" s="8" t="str">
        <f t="shared" si="41"/>
        <v>8,0,0,0,0,0,0,0,0,8</v>
      </c>
      <c r="BP26"/>
      <c r="BQ26" s="9" t="str">
        <f t="shared" si="42"/>
        <v>1651 DATA 8,0,0,0,0,0,0,0,0,8</v>
      </c>
      <c r="BR26" s="31"/>
      <c r="BS26" s="31"/>
      <c r="BT26" s="31" t="s">
        <v>202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4"/>
        <v>1652</v>
      </c>
      <c r="AW27" t="s">
        <v>5</v>
      </c>
      <c r="AX27" s="8" t="str">
        <f t="shared" si="29"/>
        <v>0,0,0,0,0,0,0,0,0,0</v>
      </c>
      <c r="AY27" s="31"/>
      <c r="AZ27" s="9" t="str">
        <f t="shared" si="30"/>
        <v>1652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5"/>
        <v>1653</v>
      </c>
      <c r="BN27" t="s">
        <v>5</v>
      </c>
      <c r="BO27" s="8" t="str">
        <f t="shared" si="41"/>
        <v>8,0,0,0,0,0,0,0,0,8</v>
      </c>
      <c r="BP27"/>
      <c r="BQ27" s="9" t="str">
        <f t="shared" si="42"/>
        <v>1653 DATA 8,0,0,0,0,0,0,0,0,8</v>
      </c>
      <c r="BR27" s="31"/>
      <c r="BS27" s="31"/>
      <c r="BT27" s="31" t="s">
        <v>203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4"/>
        <v>1654</v>
      </c>
      <c r="AW28" t="s">
        <v>5</v>
      </c>
      <c r="AX28" s="8" t="str">
        <f t="shared" si="29"/>
        <v>0,0,0,0,0,0,0,0,0,0</v>
      </c>
      <c r="AY28" s="31"/>
      <c r="AZ28" s="9" t="str">
        <f t="shared" si="30"/>
        <v>1654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5"/>
        <v>1655</v>
      </c>
      <c r="BN28" t="s">
        <v>5</v>
      </c>
      <c r="BO28" s="8" t="str">
        <f t="shared" si="41"/>
        <v>8,0,0,0,0,0,0,0,0,8</v>
      </c>
      <c r="BP28"/>
      <c r="BQ28" s="9" t="str">
        <f t="shared" si="42"/>
        <v>1655 DATA 8,0,0,0,0,0,0,0,0,8</v>
      </c>
      <c r="BR28" s="31"/>
      <c r="BS28" s="31"/>
      <c r="BT28" s="31" t="s">
        <v>204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4"/>
        <v>1656</v>
      </c>
      <c r="AW29" t="s">
        <v>5</v>
      </c>
      <c r="AX29" s="8" t="str">
        <f t="shared" si="29"/>
        <v>0,0,0,0,0,0,0,0,0,0</v>
      </c>
      <c r="AY29" s="31"/>
      <c r="AZ29" s="9" t="str">
        <f t="shared" si="30"/>
        <v>1656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5"/>
        <v>1657</v>
      </c>
      <c r="BN29" t="s">
        <v>5</v>
      </c>
      <c r="BO29" s="8" t="str">
        <f t="shared" si="41"/>
        <v>8,0,0,0,0,0,0,0,0,8</v>
      </c>
      <c r="BP29"/>
      <c r="BQ29" s="9" t="str">
        <f t="shared" si="42"/>
        <v>1657 DATA 8,0,0,0,0,0,0,0,0,8</v>
      </c>
      <c r="BR29" s="31"/>
      <c r="BS29" s="31"/>
      <c r="BT29" s="31" t="s">
        <v>205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4"/>
        <v>1658</v>
      </c>
      <c r="AW30" t="s">
        <v>5</v>
      </c>
      <c r="AX30" s="8" t="str">
        <f t="shared" si="29"/>
        <v>0,0,0,0,0,0,0,0,0,0</v>
      </c>
      <c r="AY30" s="31"/>
      <c r="AZ30" s="9" t="str">
        <f t="shared" si="30"/>
        <v>1658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5"/>
        <v>1659</v>
      </c>
      <c r="BN30" t="s">
        <v>5</v>
      </c>
      <c r="BO30" s="8" t="str">
        <f t="shared" si="41"/>
        <v>8,0,0,0,0,0,0,0,0,8</v>
      </c>
      <c r="BP30"/>
      <c r="BQ30" s="9" t="str">
        <f t="shared" si="42"/>
        <v>1659 DATA 8,0,0,0,0,0,0,0,0,8</v>
      </c>
      <c r="BR30" s="31"/>
      <c r="BS30" s="31"/>
      <c r="BT30" s="31" t="s">
        <v>206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4"/>
        <v>1660</v>
      </c>
      <c r="AW31" t="s">
        <v>5</v>
      </c>
      <c r="AX31" s="8" t="str">
        <f t="shared" si="29"/>
        <v>0,0,0,0,0,0,0,0,0,0</v>
      </c>
      <c r="AY31" s="31"/>
      <c r="AZ31" s="9" t="str">
        <f t="shared" si="30"/>
        <v>1660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5"/>
        <v>1661</v>
      </c>
      <c r="BN31" t="s">
        <v>5</v>
      </c>
      <c r="BO31" s="8" t="str">
        <f t="shared" si="41"/>
        <v>8,0,0,0,0,0,0,0,0,8</v>
      </c>
      <c r="BP31"/>
      <c r="BQ31" s="9" t="str">
        <f t="shared" si="42"/>
        <v>1661 DATA 8,0,0,0,0,0,0,0,0,8</v>
      </c>
      <c r="BR31" s="31"/>
      <c r="BS31" s="31"/>
      <c r="BT31" s="31" t="s">
        <v>207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4"/>
        <v>1662</v>
      </c>
      <c r="AW32" t="s">
        <v>5</v>
      </c>
      <c r="AX32" s="8" t="str">
        <f t="shared" si="29"/>
        <v>0,0,0,0,0,0,0,0,0,0</v>
      </c>
      <c r="AY32" s="31"/>
      <c r="AZ32" s="9" t="str">
        <f t="shared" si="30"/>
        <v>1662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5"/>
        <v>1663</v>
      </c>
      <c r="BN32" t="s">
        <v>5</v>
      </c>
      <c r="BO32" s="8" t="str">
        <f t="shared" si="41"/>
        <v>8,0,0,0,0,0,0,0,0,8</v>
      </c>
      <c r="BP32"/>
      <c r="BQ32" s="9" t="str">
        <f t="shared" si="42"/>
        <v>1663 DATA 8,0,0,0,0,0,0,0,0,8</v>
      </c>
      <c r="BR32" s="31"/>
      <c r="BS32" s="31"/>
      <c r="BT32" s="31" t="s">
        <v>208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4"/>
        <v>1664</v>
      </c>
      <c r="AW33" t="s">
        <v>5</v>
      </c>
      <c r="AX33" s="8" t="str">
        <f t="shared" si="29"/>
        <v>0,0,0,0,0,0,0,0,0,0</v>
      </c>
      <c r="AY33" s="31"/>
      <c r="AZ33" s="9" t="str">
        <f t="shared" si="30"/>
        <v>1664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5"/>
        <v>1665</v>
      </c>
      <c r="BN33" t="s">
        <v>5</v>
      </c>
      <c r="BO33" s="8" t="str">
        <f t="shared" si="41"/>
        <v>8,0,0,0,0,0,0,0,0,8</v>
      </c>
      <c r="BP33"/>
      <c r="BQ33" s="9" t="str">
        <f t="shared" si="42"/>
        <v>1665 DATA 8,0,0,0,0,0,0,0,0,8</v>
      </c>
      <c r="BR33" s="31"/>
      <c r="BS33" s="31"/>
      <c r="BT33" s="31"/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4"/>
        <v>1666</v>
      </c>
      <c r="AW34" t="s">
        <v>5</v>
      </c>
      <c r="AX34" s="8" t="str">
        <f t="shared" si="29"/>
        <v>0,0,0,0,0,0,0,0,0,0</v>
      </c>
      <c r="AY34" s="31"/>
      <c r="AZ34" s="9" t="str">
        <f t="shared" si="30"/>
        <v>1666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5"/>
        <v>1667</v>
      </c>
      <c r="BN34" t="s">
        <v>5</v>
      </c>
      <c r="BO34" s="8" t="str">
        <f t="shared" si="41"/>
        <v>8,0,0,0,0,0,0,0,0,8</v>
      </c>
      <c r="BP34"/>
      <c r="BQ34" s="9" t="str">
        <f t="shared" si="42"/>
        <v>1667 DATA 8,0,0,0,0,0,0,0,0,8</v>
      </c>
      <c r="BR34" s="31"/>
      <c r="BS34" s="31"/>
      <c r="BT34" s="31"/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4"/>
        <v>1668</v>
      </c>
      <c r="AW35" t="s">
        <v>5</v>
      </c>
      <c r="AX35" s="8" t="str">
        <f t="shared" si="29"/>
        <v>0,0,0,0,0,0,0,0,0,0</v>
      </c>
      <c r="AY35" s="31"/>
      <c r="AZ35" s="9" t="str">
        <f t="shared" si="30"/>
        <v>1668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5"/>
        <v>1669</v>
      </c>
      <c r="BN35" t="s">
        <v>5</v>
      </c>
      <c r="BO35" s="8" t="str">
        <f t="shared" si="41"/>
        <v>8,0,0,0,0,0,0,0,0,8</v>
      </c>
      <c r="BP35"/>
      <c r="BQ35" s="9" t="str">
        <f t="shared" si="42"/>
        <v>1669 DATA 8,0,0,0,0,0,0,0,0,8</v>
      </c>
      <c r="BR35" s="31"/>
      <c r="BS35" s="31"/>
      <c r="BT35" s="31"/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4"/>
        <v>1670</v>
      </c>
      <c r="AW36" t="s">
        <v>5</v>
      </c>
      <c r="AX36" s="8" t="str">
        <f t="shared" si="29"/>
        <v>0,0,0,0,0,0,0,0,0,0</v>
      </c>
      <c r="AY36" s="31"/>
      <c r="AZ36" s="9" t="str">
        <f t="shared" si="30"/>
        <v>1670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5"/>
        <v>1671</v>
      </c>
      <c r="BN36" t="s">
        <v>5</v>
      </c>
      <c r="BO36" s="8" t="str">
        <f t="shared" si="41"/>
        <v>8,0,0,0,0,0,0,0,0,8</v>
      </c>
      <c r="BP36"/>
      <c r="BQ36" s="9" t="str">
        <f t="shared" si="42"/>
        <v>1671 DATA 8,0,0,0,0,0,0,0,0,8</v>
      </c>
      <c r="BR36" s="31"/>
      <c r="BS36" s="31"/>
      <c r="BT36" s="31"/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4"/>
        <v>1672</v>
      </c>
      <c r="AW37" t="s">
        <v>5</v>
      </c>
      <c r="AX37" s="8" t="str">
        <f t="shared" si="29"/>
        <v>0,0,0,0,0,0,0,0,0,0</v>
      </c>
      <c r="AY37" s="31"/>
      <c r="AZ37" s="9" t="str">
        <f t="shared" si="30"/>
        <v>1672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5"/>
        <v>1673</v>
      </c>
      <c r="BN37" t="s">
        <v>5</v>
      </c>
      <c r="BO37" s="8" t="str">
        <f t="shared" si="41"/>
        <v>8,0,0,0,0,0,0,0,0,8</v>
      </c>
      <c r="BP37"/>
      <c r="BQ37" s="9" t="str">
        <f t="shared" si="42"/>
        <v>1673 DATA 8,0,0,0,0,0,0,0,0,8</v>
      </c>
      <c r="BR37" s="31"/>
      <c r="BS37" s="31"/>
      <c r="BT37" s="31"/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4"/>
        <v>1674</v>
      </c>
      <c r="AW38" t="s">
        <v>5</v>
      </c>
      <c r="AX38" s="8" t="str">
        <f t="shared" si="29"/>
        <v>0,0,0,0,0,0,0,0,0,0</v>
      </c>
      <c r="AY38" s="31"/>
      <c r="AZ38" s="9" t="str">
        <f t="shared" si="30"/>
        <v>1674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5"/>
        <v>1675</v>
      </c>
      <c r="BN38" t="s">
        <v>5</v>
      </c>
      <c r="BO38" s="8" t="str">
        <f t="shared" si="41"/>
        <v>8,0,0,0,0,0,0,0,0,8</v>
      </c>
      <c r="BP38"/>
      <c r="BQ38" s="9" t="str">
        <f t="shared" si="42"/>
        <v>1675 DATA 8,0,0,0,0,0,0,0,0,8</v>
      </c>
      <c r="BR38" s="31"/>
      <c r="BS38" s="31"/>
      <c r="BT38" s="31"/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4"/>
        <v>1676</v>
      </c>
      <c r="AW39" t="s">
        <v>5</v>
      </c>
      <c r="AX39" s="8" t="str">
        <f t="shared" si="29"/>
        <v>0,0,0,0,0,0,0,0,0,0</v>
      </c>
      <c r="AY39" s="31"/>
      <c r="AZ39" s="9" t="str">
        <f t="shared" si="30"/>
        <v>1676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5"/>
        <v>1677</v>
      </c>
      <c r="BN39" t="s">
        <v>5</v>
      </c>
      <c r="BO39" s="8" t="str">
        <f t="shared" si="41"/>
        <v>8,0,0,0,0,0,0,0,0,8</v>
      </c>
      <c r="BP39"/>
      <c r="BQ39" s="9" t="str">
        <f t="shared" si="42"/>
        <v>1677 DATA 8,0,0,0,0,0,0,0,0,8</v>
      </c>
      <c r="BR39" s="31"/>
      <c r="BS39" s="31"/>
      <c r="BT39" s="31"/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4"/>
        <v>1678</v>
      </c>
      <c r="AW40" t="s">
        <v>5</v>
      </c>
      <c r="AX40" s="8" t="str">
        <f t="shared" si="29"/>
        <v>0,0,0,0,0,0,0,0,0,0</v>
      </c>
      <c r="AY40" s="31"/>
      <c r="AZ40" s="9" t="str">
        <f t="shared" si="30"/>
        <v>1678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5"/>
        <v>1679</v>
      </c>
      <c r="BN40" t="s">
        <v>5</v>
      </c>
      <c r="BO40" s="8" t="str">
        <f t="shared" si="41"/>
        <v>8,0,0,0,0,0,0,0,0,8</v>
      </c>
      <c r="BP40"/>
      <c r="BQ40" s="9" t="str">
        <f t="shared" si="42"/>
        <v>1679 DATA 8,0,0,0,0,0,0,0,0,8</v>
      </c>
      <c r="BR40" s="31"/>
      <c r="BS40" s="31"/>
      <c r="BT40" s="31"/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4"/>
        <v>1680</v>
      </c>
      <c r="AW41" t="s">
        <v>5</v>
      </c>
      <c r="AX41" s="8" t="str">
        <f t="shared" si="29"/>
        <v>0,0,0,0,0,0,0,0,0,0</v>
      </c>
      <c r="AY41" s="31"/>
      <c r="AZ41" s="9" t="str">
        <f t="shared" si="30"/>
        <v>1680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5"/>
        <v>1681</v>
      </c>
      <c r="BN41" t="s">
        <v>5</v>
      </c>
      <c r="BO41" s="8" t="str">
        <f t="shared" si="41"/>
        <v>8,0,0,0,0,0,0,0,0,8</v>
      </c>
      <c r="BP41"/>
      <c r="BQ41" s="9" t="str">
        <f t="shared" si="42"/>
        <v>1681 DATA 8,0,0,0,0,0,0,0,0,8</v>
      </c>
      <c r="BR41" s="31"/>
      <c r="BS41" s="31"/>
      <c r="BT41" s="31"/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4"/>
        <v>1682</v>
      </c>
      <c r="AW42" t="s">
        <v>5</v>
      </c>
      <c r="AX42" s="8" t="str">
        <f t="shared" si="29"/>
        <v>0,0,0,0,0,0,0,0,0,0</v>
      </c>
      <c r="AY42" s="31"/>
      <c r="AZ42" s="9" t="str">
        <f t="shared" si="30"/>
        <v>1682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5"/>
        <v>1683</v>
      </c>
      <c r="BN42" t="s">
        <v>5</v>
      </c>
      <c r="BO42" s="8" t="str">
        <f t="shared" si="41"/>
        <v>8,0,0,0,0,0,0,0,0,8</v>
      </c>
      <c r="BP42"/>
      <c r="BQ42" s="9" t="str">
        <f t="shared" si="42"/>
        <v>1683 DATA 8,0,0,0,0,0,0,0,0,8</v>
      </c>
      <c r="BR42" s="31"/>
      <c r="BS42" s="31"/>
      <c r="BT42" s="31"/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4"/>
        <v>1684</v>
      </c>
      <c r="AW43" t="s">
        <v>5</v>
      </c>
      <c r="AX43" s="8" t="str">
        <f t="shared" si="29"/>
        <v>0,0,0,0,0,0,0,0,0,0</v>
      </c>
      <c r="AY43" s="31"/>
      <c r="AZ43" s="9" t="str">
        <f t="shared" si="30"/>
        <v>1684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5"/>
        <v>1685</v>
      </c>
      <c r="BN43" t="s">
        <v>5</v>
      </c>
      <c r="BO43" s="8" t="str">
        <f t="shared" si="41"/>
        <v>8,0,0,0,0,0,0,0,0,8</v>
      </c>
      <c r="BP43"/>
      <c r="BQ43" s="9" t="str">
        <f t="shared" si="42"/>
        <v>1685 DATA 8,0,0,0,0,0,0,0,0,8</v>
      </c>
      <c r="BR43" s="31"/>
      <c r="BS43" s="31"/>
      <c r="BT43" s="31"/>
    </row>
    <row r="44" spans="1:72">
      <c r="S44" s="4">
        <f t="shared" ref="S44:S100" si="46">HEX2DEC(A44)</f>
        <v>0</v>
      </c>
      <c r="T44" s="7">
        <f t="shared" ref="T44:T100" si="47">HEX2DEC(B44)</f>
        <v>0</v>
      </c>
      <c r="U44" s="7">
        <f t="shared" ref="U44:U100" si="48">HEX2DEC(C44)</f>
        <v>0</v>
      </c>
      <c r="V44" s="7">
        <f t="shared" ref="V44:V100" si="49">HEX2DEC(D44)</f>
        <v>0</v>
      </c>
      <c r="W44" s="7">
        <f t="shared" ref="W44:W100" si="50">HEX2DEC(E44)</f>
        <v>0</v>
      </c>
      <c r="X44" s="7">
        <f t="shared" ref="X44:X100" si="51">HEX2DEC(F44)</f>
        <v>0</v>
      </c>
      <c r="Y44" s="7">
        <f t="shared" ref="Y44:Y100" si="52">HEX2DEC(G44)</f>
        <v>0</v>
      </c>
      <c r="Z44" s="7">
        <f t="shared" ref="Z44:Z100" si="53">HEX2DEC(H44)</f>
        <v>0</v>
      </c>
      <c r="AA44" s="7">
        <f t="shared" ref="AA44:AA100" si="54">HEX2DEC(I44)</f>
        <v>0</v>
      </c>
      <c r="AB44" s="6">
        <f t="shared" ref="AB44:AB100" si="55">HEX2DEC(J44)</f>
        <v>0</v>
      </c>
      <c r="AC44" s="6">
        <f t="shared" ref="AC44:AC100" si="56">HEX2DEC(K44)</f>
        <v>0</v>
      </c>
      <c r="AD44" s="6">
        <f t="shared" ref="AD44:AD100" si="57">HEX2DEC(L44)</f>
        <v>0</v>
      </c>
      <c r="AE44" s="6">
        <f t="shared" ref="AE44:AE100" si="58">HEX2DEC(M44)</f>
        <v>0</v>
      </c>
      <c r="AF44" s="6">
        <f t="shared" ref="AF44:AF100" si="59">HEX2DEC(N44)</f>
        <v>0</v>
      </c>
      <c r="AG44" s="6">
        <f t="shared" ref="AG44:AG100" si="60">HEX2DEC(O44)</f>
        <v>0</v>
      </c>
      <c r="AH44" s="6">
        <f t="shared" ref="AH44:AH100" si="61">HEX2DEC(P44)</f>
        <v>0</v>
      </c>
      <c r="AI44" s="6">
        <f t="shared" ref="AI44:AI100" si="62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4"/>
        <v>1686</v>
      </c>
      <c r="AW44" t="s">
        <v>5</v>
      </c>
      <c r="AX44" s="8" t="str">
        <f t="shared" si="29"/>
        <v>0,0,0,0,0,0,0,0,0,0</v>
      </c>
      <c r="AY44" s="31"/>
      <c r="AZ44" s="9" t="str">
        <f t="shared" si="30"/>
        <v>1686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5"/>
        <v>1687</v>
      </c>
      <c r="BN44" t="s">
        <v>5</v>
      </c>
      <c r="BO44" s="8" t="str">
        <f t="shared" si="41"/>
        <v>8,0,0,0,0,0,0,0,0,8</v>
      </c>
      <c r="BP44"/>
      <c r="BQ44" s="9" t="str">
        <f t="shared" si="42"/>
        <v>1687 DATA 8,0,0,0,0,0,0,0,0,8</v>
      </c>
    </row>
    <row r="45" spans="1:72">
      <c r="S45" s="4">
        <f t="shared" si="46"/>
        <v>0</v>
      </c>
      <c r="T45" s="7">
        <f t="shared" si="47"/>
        <v>0</v>
      </c>
      <c r="U45" s="7">
        <f t="shared" si="48"/>
        <v>0</v>
      </c>
      <c r="V45" s="7">
        <f t="shared" si="49"/>
        <v>0</v>
      </c>
      <c r="W45" s="7">
        <f t="shared" si="50"/>
        <v>0</v>
      </c>
      <c r="X45" s="7">
        <f t="shared" si="51"/>
        <v>0</v>
      </c>
      <c r="Y45" s="7">
        <f t="shared" si="52"/>
        <v>0</v>
      </c>
      <c r="Z45" s="7">
        <f t="shared" si="53"/>
        <v>0</v>
      </c>
      <c r="AA45" s="7">
        <f t="shared" si="54"/>
        <v>0</v>
      </c>
      <c r="AB45" s="6">
        <f t="shared" si="55"/>
        <v>0</v>
      </c>
      <c r="AC45" s="6">
        <f t="shared" si="56"/>
        <v>0</v>
      </c>
      <c r="AD45" s="6">
        <f t="shared" si="57"/>
        <v>0</v>
      </c>
      <c r="AE45" s="6">
        <f t="shared" si="58"/>
        <v>0</v>
      </c>
      <c r="AF45" s="6">
        <f t="shared" si="59"/>
        <v>0</v>
      </c>
      <c r="AG45" s="6">
        <f t="shared" si="60"/>
        <v>0</v>
      </c>
      <c r="AH45" s="6">
        <f t="shared" si="61"/>
        <v>0</v>
      </c>
      <c r="AI45" s="6">
        <f t="shared" si="62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4"/>
        <v>1688</v>
      </c>
      <c r="AW45" t="s">
        <v>5</v>
      </c>
      <c r="AX45" s="8" t="str">
        <f t="shared" si="29"/>
        <v>0,0,0,0,0,0,0,0,0,0</v>
      </c>
      <c r="AY45" s="31"/>
      <c r="AZ45" s="9" t="str">
        <f t="shared" si="30"/>
        <v>1688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5"/>
        <v>1689</v>
      </c>
      <c r="BN45" t="s">
        <v>5</v>
      </c>
      <c r="BO45" s="8" t="str">
        <f t="shared" si="41"/>
        <v>8,0,0,0,0,0,0,0,0,8</v>
      </c>
      <c r="BP45"/>
      <c r="BQ45" s="9" t="str">
        <f t="shared" si="42"/>
        <v>1689 DATA 8,0,0,0,0,0,0,0,0,8</v>
      </c>
    </row>
    <row r="46" spans="1:72">
      <c r="S46" s="4">
        <f t="shared" si="46"/>
        <v>0</v>
      </c>
      <c r="T46" s="7">
        <f t="shared" si="47"/>
        <v>0</v>
      </c>
      <c r="U46" s="7">
        <f t="shared" si="48"/>
        <v>0</v>
      </c>
      <c r="V46" s="7">
        <f t="shared" si="49"/>
        <v>0</v>
      </c>
      <c r="W46" s="7">
        <f t="shared" si="50"/>
        <v>0</v>
      </c>
      <c r="X46" s="7">
        <f t="shared" si="51"/>
        <v>0</v>
      </c>
      <c r="Y46" s="7">
        <f t="shared" si="52"/>
        <v>0</v>
      </c>
      <c r="Z46" s="7">
        <f t="shared" si="53"/>
        <v>0</v>
      </c>
      <c r="AA46" s="7">
        <f t="shared" si="54"/>
        <v>0</v>
      </c>
      <c r="AB46" s="6">
        <f t="shared" si="55"/>
        <v>0</v>
      </c>
      <c r="AC46" s="6">
        <f t="shared" si="56"/>
        <v>0</v>
      </c>
      <c r="AD46" s="6">
        <f t="shared" si="57"/>
        <v>0</v>
      </c>
      <c r="AE46" s="6">
        <f t="shared" si="58"/>
        <v>0</v>
      </c>
      <c r="AF46" s="6">
        <f t="shared" si="59"/>
        <v>0</v>
      </c>
      <c r="AG46" s="6">
        <f t="shared" si="60"/>
        <v>0</v>
      </c>
      <c r="AH46" s="6">
        <f t="shared" si="61"/>
        <v>0</v>
      </c>
      <c r="AI46" s="6">
        <f t="shared" si="62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4"/>
        <v>1690</v>
      </c>
      <c r="AW46" t="s">
        <v>5</v>
      </c>
      <c r="AX46" s="8" t="str">
        <f t="shared" si="29"/>
        <v>0,0,0,0,0,0,0,0,0,0</v>
      </c>
      <c r="AY46" s="31"/>
      <c r="AZ46" s="9" t="str">
        <f t="shared" si="30"/>
        <v>1690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5"/>
        <v>1691</v>
      </c>
      <c r="BN46" t="s">
        <v>5</v>
      </c>
      <c r="BO46" s="8" t="str">
        <f t="shared" si="41"/>
        <v>8,0,0,0,0,0,0,0,0,8</v>
      </c>
      <c r="BP46"/>
      <c r="BQ46" s="9" t="str">
        <f t="shared" si="42"/>
        <v>1691 DATA 8,0,0,0,0,0,0,0,0,8</v>
      </c>
    </row>
    <row r="47" spans="1:72">
      <c r="S47" s="4">
        <f t="shared" si="46"/>
        <v>0</v>
      </c>
      <c r="T47" s="7">
        <f t="shared" si="47"/>
        <v>0</v>
      </c>
      <c r="U47" s="7">
        <f t="shared" si="48"/>
        <v>0</v>
      </c>
      <c r="V47" s="7">
        <f t="shared" si="49"/>
        <v>0</v>
      </c>
      <c r="W47" s="7">
        <f t="shared" si="50"/>
        <v>0</v>
      </c>
      <c r="X47" s="7">
        <f t="shared" si="51"/>
        <v>0</v>
      </c>
      <c r="Y47" s="7">
        <f t="shared" si="52"/>
        <v>0</v>
      </c>
      <c r="Z47" s="7">
        <f t="shared" si="53"/>
        <v>0</v>
      </c>
      <c r="AA47" s="7">
        <f t="shared" si="54"/>
        <v>0</v>
      </c>
      <c r="AB47" s="6">
        <f t="shared" si="55"/>
        <v>0</v>
      </c>
      <c r="AC47" s="6">
        <f t="shared" si="56"/>
        <v>0</v>
      </c>
      <c r="AD47" s="6">
        <f t="shared" si="57"/>
        <v>0</v>
      </c>
      <c r="AE47" s="6">
        <f t="shared" si="58"/>
        <v>0</v>
      </c>
      <c r="AF47" s="6">
        <f t="shared" si="59"/>
        <v>0</v>
      </c>
      <c r="AG47" s="6">
        <f t="shared" si="60"/>
        <v>0</v>
      </c>
      <c r="AH47" s="6">
        <f t="shared" si="61"/>
        <v>0</v>
      </c>
      <c r="AI47" s="6">
        <f t="shared" si="62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4"/>
        <v>1692</v>
      </c>
      <c r="AW47" t="s">
        <v>5</v>
      </c>
      <c r="AX47" s="8" t="str">
        <f t="shared" si="29"/>
        <v>0,0,0,0,0,0,0,0,0,0</v>
      </c>
      <c r="AY47" s="31"/>
      <c r="AZ47" s="9" t="str">
        <f t="shared" si="30"/>
        <v>1692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5"/>
        <v>1693</v>
      </c>
      <c r="BN47" t="s">
        <v>5</v>
      </c>
      <c r="BO47" s="8" t="str">
        <f t="shared" si="41"/>
        <v>8,0,0,0,0,0,0,0,0,8</v>
      </c>
      <c r="BP47"/>
      <c r="BQ47" s="9" t="str">
        <f t="shared" si="42"/>
        <v>1693 DATA 8,0,0,0,0,0,0,0,0,8</v>
      </c>
    </row>
    <row r="48" spans="1:72">
      <c r="S48" s="4">
        <f t="shared" si="46"/>
        <v>0</v>
      </c>
      <c r="T48" s="7">
        <f t="shared" si="47"/>
        <v>0</v>
      </c>
      <c r="U48" s="7">
        <f t="shared" si="48"/>
        <v>0</v>
      </c>
      <c r="V48" s="7">
        <f t="shared" si="49"/>
        <v>0</v>
      </c>
      <c r="W48" s="7">
        <f t="shared" si="50"/>
        <v>0</v>
      </c>
      <c r="X48" s="7">
        <f t="shared" si="51"/>
        <v>0</v>
      </c>
      <c r="Y48" s="7">
        <f t="shared" si="52"/>
        <v>0</v>
      </c>
      <c r="Z48" s="7">
        <f t="shared" si="53"/>
        <v>0</v>
      </c>
      <c r="AA48" s="7">
        <f t="shared" si="54"/>
        <v>0</v>
      </c>
      <c r="AB48" s="6">
        <f t="shared" si="55"/>
        <v>0</v>
      </c>
      <c r="AC48" s="6">
        <f t="shared" si="56"/>
        <v>0</v>
      </c>
      <c r="AD48" s="6">
        <f t="shared" si="57"/>
        <v>0</v>
      </c>
      <c r="AE48" s="6">
        <f t="shared" si="58"/>
        <v>0</v>
      </c>
      <c r="AF48" s="6">
        <f t="shared" si="59"/>
        <v>0</v>
      </c>
      <c r="AG48" s="6">
        <f t="shared" si="60"/>
        <v>0</v>
      </c>
      <c r="AH48" s="6">
        <f t="shared" si="61"/>
        <v>0</v>
      </c>
      <c r="AI48" s="6">
        <f t="shared" si="62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4"/>
        <v>1694</v>
      </c>
      <c r="AW48" t="s">
        <v>5</v>
      </c>
      <c r="AX48" s="8" t="str">
        <f t="shared" si="29"/>
        <v>0,0,0,0,0,0,0,0,0,0</v>
      </c>
      <c r="AY48" s="31"/>
      <c r="AZ48" s="9" t="str">
        <f t="shared" si="30"/>
        <v>1694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5"/>
        <v>1695</v>
      </c>
      <c r="BN48" t="s">
        <v>5</v>
      </c>
      <c r="BO48" s="8" t="str">
        <f t="shared" si="41"/>
        <v>8,0,0,0,0,0,0,0,0,8</v>
      </c>
      <c r="BP48"/>
      <c r="BQ48" s="9" t="str">
        <f t="shared" si="42"/>
        <v>1695 DATA 8,0,0,0,0,0,0,0,0,8</v>
      </c>
    </row>
    <row r="49" spans="19:69">
      <c r="S49" s="4">
        <f t="shared" si="46"/>
        <v>0</v>
      </c>
      <c r="T49" s="7">
        <f t="shared" si="47"/>
        <v>0</v>
      </c>
      <c r="U49" s="7">
        <f t="shared" si="48"/>
        <v>0</v>
      </c>
      <c r="V49" s="7">
        <f t="shared" si="49"/>
        <v>0</v>
      </c>
      <c r="W49" s="7">
        <f t="shared" si="50"/>
        <v>0</v>
      </c>
      <c r="X49" s="7">
        <f t="shared" si="51"/>
        <v>0</v>
      </c>
      <c r="Y49" s="7">
        <f t="shared" si="52"/>
        <v>0</v>
      </c>
      <c r="Z49" s="7">
        <f t="shared" si="53"/>
        <v>0</v>
      </c>
      <c r="AA49" s="7">
        <f t="shared" si="54"/>
        <v>0</v>
      </c>
      <c r="AB49" s="6">
        <f t="shared" si="55"/>
        <v>0</v>
      </c>
      <c r="AC49" s="6">
        <f t="shared" si="56"/>
        <v>0</v>
      </c>
      <c r="AD49" s="6">
        <f t="shared" si="57"/>
        <v>0</v>
      </c>
      <c r="AE49" s="6">
        <f t="shared" si="58"/>
        <v>0</v>
      </c>
      <c r="AF49" s="6">
        <f t="shared" si="59"/>
        <v>0</v>
      </c>
      <c r="AG49" s="6">
        <f t="shared" si="60"/>
        <v>0</v>
      </c>
      <c r="AH49" s="6">
        <f t="shared" si="61"/>
        <v>0</v>
      </c>
      <c r="AI49" s="6">
        <f t="shared" si="62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4"/>
        <v>1696</v>
      </c>
      <c r="AW49" t="s">
        <v>5</v>
      </c>
      <c r="AX49" s="8" t="str">
        <f t="shared" si="29"/>
        <v>0,0,0,0,0,0,0,0,0,0</v>
      </c>
      <c r="AY49" s="31"/>
      <c r="AZ49" s="9" t="str">
        <f t="shared" si="30"/>
        <v>1696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5"/>
        <v>1697</v>
      </c>
      <c r="BN49" t="s">
        <v>5</v>
      </c>
      <c r="BO49" s="8" t="str">
        <f t="shared" si="41"/>
        <v>8,0,0,0,0,0,0,0,0,8</v>
      </c>
      <c r="BP49"/>
      <c r="BQ49" s="9" t="str">
        <f t="shared" si="42"/>
        <v>1697 DATA 8,0,0,0,0,0,0,0,0,8</v>
      </c>
    </row>
    <row r="50" spans="19:69">
      <c r="S50" s="4">
        <f t="shared" si="46"/>
        <v>0</v>
      </c>
      <c r="T50" s="7">
        <f t="shared" si="47"/>
        <v>0</v>
      </c>
      <c r="U50" s="7">
        <f t="shared" si="48"/>
        <v>0</v>
      </c>
      <c r="V50" s="7">
        <f t="shared" si="49"/>
        <v>0</v>
      </c>
      <c r="W50" s="7">
        <f t="shared" si="50"/>
        <v>0</v>
      </c>
      <c r="X50" s="7">
        <f t="shared" si="51"/>
        <v>0</v>
      </c>
      <c r="Y50" s="7">
        <f t="shared" si="52"/>
        <v>0</v>
      </c>
      <c r="Z50" s="7">
        <f t="shared" si="53"/>
        <v>0</v>
      </c>
      <c r="AA50" s="7">
        <f t="shared" si="54"/>
        <v>0</v>
      </c>
      <c r="AB50" s="6">
        <f t="shared" si="55"/>
        <v>0</v>
      </c>
      <c r="AC50" s="6">
        <f t="shared" si="56"/>
        <v>0</v>
      </c>
      <c r="AD50" s="6">
        <f t="shared" si="57"/>
        <v>0</v>
      </c>
      <c r="AE50" s="6">
        <f t="shared" si="58"/>
        <v>0</v>
      </c>
      <c r="AF50" s="6">
        <f t="shared" si="59"/>
        <v>0</v>
      </c>
      <c r="AG50" s="6">
        <f t="shared" si="60"/>
        <v>0</v>
      </c>
      <c r="AH50" s="6">
        <f t="shared" si="61"/>
        <v>0</v>
      </c>
      <c r="AI50" s="6">
        <f t="shared" si="62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4"/>
        <v>1698</v>
      </c>
      <c r="AW50" t="s">
        <v>5</v>
      </c>
      <c r="AX50" s="8" t="str">
        <f t="shared" si="29"/>
        <v>0,0,0,0,0,0,0,0,0,0</v>
      </c>
      <c r="AY50" s="31"/>
      <c r="AZ50" s="9" t="str">
        <f t="shared" si="30"/>
        <v>1698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5"/>
        <v>1699</v>
      </c>
      <c r="BN50" t="s">
        <v>5</v>
      </c>
      <c r="BO50" s="8" t="str">
        <f t="shared" si="41"/>
        <v>8,0,0,0,0,0,0,0,0,8</v>
      </c>
      <c r="BP50"/>
      <c r="BQ50" s="9" t="str">
        <f t="shared" si="42"/>
        <v>1699 DATA 8,0,0,0,0,0,0,0,0,8</v>
      </c>
    </row>
    <row r="51" spans="19:69">
      <c r="S51" s="4">
        <f t="shared" si="46"/>
        <v>0</v>
      </c>
      <c r="T51" s="7">
        <f t="shared" si="47"/>
        <v>0</v>
      </c>
      <c r="U51" s="7">
        <f t="shared" si="48"/>
        <v>0</v>
      </c>
      <c r="V51" s="7">
        <f t="shared" si="49"/>
        <v>0</v>
      </c>
      <c r="W51" s="7">
        <f t="shared" si="50"/>
        <v>0</v>
      </c>
      <c r="X51" s="7">
        <f t="shared" si="51"/>
        <v>0</v>
      </c>
      <c r="Y51" s="7">
        <f t="shared" si="52"/>
        <v>0</v>
      </c>
      <c r="Z51" s="7">
        <f t="shared" si="53"/>
        <v>0</v>
      </c>
      <c r="AA51" s="7">
        <f t="shared" si="54"/>
        <v>0</v>
      </c>
      <c r="AB51" s="6">
        <f t="shared" si="55"/>
        <v>0</v>
      </c>
      <c r="AC51" s="6">
        <f t="shared" si="56"/>
        <v>0</v>
      </c>
      <c r="AD51" s="6">
        <f t="shared" si="57"/>
        <v>0</v>
      </c>
      <c r="AE51" s="6">
        <f t="shared" si="58"/>
        <v>0</v>
      </c>
      <c r="AF51" s="6">
        <f t="shared" si="59"/>
        <v>0</v>
      </c>
      <c r="AG51" s="6">
        <f t="shared" si="60"/>
        <v>0</v>
      </c>
      <c r="AH51" s="6">
        <f t="shared" si="61"/>
        <v>0</v>
      </c>
      <c r="AI51" s="6">
        <f t="shared" si="62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4"/>
        <v>1700</v>
      </c>
      <c r="AW51" t="s">
        <v>5</v>
      </c>
      <c r="AX51" s="8" t="str">
        <f t="shared" si="29"/>
        <v>0,0,0,0,0,0,0,0,0,0</v>
      </c>
      <c r="AY51" s="31"/>
      <c r="AZ51" s="9" t="str">
        <f t="shared" si="30"/>
        <v>1700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5"/>
        <v>1701</v>
      </c>
      <c r="BN51" t="s">
        <v>5</v>
      </c>
      <c r="BO51" s="8" t="str">
        <f t="shared" si="41"/>
        <v>8,0,0,0,0,0,0,0,0,8</v>
      </c>
      <c r="BP51"/>
      <c r="BQ51" s="9" t="str">
        <f t="shared" si="42"/>
        <v>1701 DATA 8,0,0,0,0,0,0,0,0,8</v>
      </c>
    </row>
    <row r="52" spans="19:69">
      <c r="S52" s="4">
        <f t="shared" si="46"/>
        <v>0</v>
      </c>
      <c r="T52" s="7">
        <f t="shared" si="47"/>
        <v>0</v>
      </c>
      <c r="U52" s="7">
        <f t="shared" si="48"/>
        <v>0</v>
      </c>
      <c r="V52" s="7">
        <f t="shared" si="49"/>
        <v>0</v>
      </c>
      <c r="W52" s="7">
        <f t="shared" si="50"/>
        <v>0</v>
      </c>
      <c r="X52" s="7">
        <f t="shared" si="51"/>
        <v>0</v>
      </c>
      <c r="Y52" s="7">
        <f t="shared" si="52"/>
        <v>0</v>
      </c>
      <c r="Z52" s="7">
        <f t="shared" si="53"/>
        <v>0</v>
      </c>
      <c r="AA52" s="7">
        <f t="shared" si="54"/>
        <v>0</v>
      </c>
      <c r="AB52" s="6">
        <f t="shared" si="55"/>
        <v>0</v>
      </c>
      <c r="AC52" s="6">
        <f t="shared" si="56"/>
        <v>0</v>
      </c>
      <c r="AD52" s="6">
        <f t="shared" si="57"/>
        <v>0</v>
      </c>
      <c r="AE52" s="6">
        <f t="shared" si="58"/>
        <v>0</v>
      </c>
      <c r="AF52" s="6">
        <f t="shared" si="59"/>
        <v>0</v>
      </c>
      <c r="AG52" s="6">
        <f t="shared" si="60"/>
        <v>0</v>
      </c>
      <c r="AH52" s="6">
        <f t="shared" si="61"/>
        <v>0</v>
      </c>
      <c r="AI52" s="6">
        <f t="shared" si="62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4"/>
        <v>1702</v>
      </c>
      <c r="AW52" t="s">
        <v>5</v>
      </c>
      <c r="AX52" s="8" t="str">
        <f t="shared" si="29"/>
        <v>0,0,0,0,0,0,0,0,0,0</v>
      </c>
      <c r="AY52" s="31"/>
      <c r="AZ52" s="9" t="str">
        <f t="shared" si="30"/>
        <v>1702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5"/>
        <v>1703</v>
      </c>
      <c r="BN52" t="s">
        <v>5</v>
      </c>
      <c r="BO52" s="8" t="str">
        <f t="shared" si="41"/>
        <v>8,0,0,0,0,0,0,0,0,8</v>
      </c>
      <c r="BP52"/>
      <c r="BQ52" s="9" t="str">
        <f t="shared" si="42"/>
        <v>1703 DATA 8,0,0,0,0,0,0,0,0,8</v>
      </c>
    </row>
    <row r="53" spans="19:69">
      <c r="S53" s="4">
        <f t="shared" si="46"/>
        <v>0</v>
      </c>
      <c r="T53" s="7">
        <f t="shared" si="47"/>
        <v>0</v>
      </c>
      <c r="U53" s="7">
        <f t="shared" si="48"/>
        <v>0</v>
      </c>
      <c r="V53" s="7">
        <f t="shared" si="49"/>
        <v>0</v>
      </c>
      <c r="W53" s="7">
        <f t="shared" si="50"/>
        <v>0</v>
      </c>
      <c r="X53" s="7">
        <f t="shared" si="51"/>
        <v>0</v>
      </c>
      <c r="Y53" s="7">
        <f t="shared" si="52"/>
        <v>0</v>
      </c>
      <c r="Z53" s="7">
        <f t="shared" si="53"/>
        <v>0</v>
      </c>
      <c r="AA53" s="7">
        <f t="shared" si="54"/>
        <v>0</v>
      </c>
      <c r="AB53" s="6">
        <f t="shared" si="55"/>
        <v>0</v>
      </c>
      <c r="AC53" s="6">
        <f t="shared" si="56"/>
        <v>0</v>
      </c>
      <c r="AD53" s="6">
        <f t="shared" si="57"/>
        <v>0</v>
      </c>
      <c r="AE53" s="6">
        <f t="shared" si="58"/>
        <v>0</v>
      </c>
      <c r="AF53" s="6">
        <f t="shared" si="59"/>
        <v>0</v>
      </c>
      <c r="AG53" s="6">
        <f t="shared" si="60"/>
        <v>0</v>
      </c>
      <c r="AH53" s="6">
        <f t="shared" si="61"/>
        <v>0</v>
      </c>
      <c r="AI53" s="6">
        <f t="shared" si="62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4"/>
        <v>1704</v>
      </c>
      <c r="AW53" t="s">
        <v>5</v>
      </c>
      <c r="AX53" s="8" t="str">
        <f t="shared" si="29"/>
        <v>0,0,0,0,0,0,0,0,0,0</v>
      </c>
      <c r="AY53" s="31"/>
      <c r="AZ53" s="9" t="str">
        <f t="shared" si="30"/>
        <v>1704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5"/>
        <v>1705</v>
      </c>
      <c r="BN53" t="s">
        <v>5</v>
      </c>
      <c r="BO53" s="8" t="str">
        <f t="shared" si="41"/>
        <v>8,0,0,0,0,0,0,0,0,8</v>
      </c>
      <c r="BP53"/>
      <c r="BQ53" s="9" t="str">
        <f t="shared" si="42"/>
        <v>1705 DATA 8,0,0,0,0,0,0,0,0,8</v>
      </c>
    </row>
    <row r="54" spans="19:69">
      <c r="S54" s="4">
        <f t="shared" si="46"/>
        <v>0</v>
      </c>
      <c r="T54" s="7">
        <f t="shared" si="47"/>
        <v>0</v>
      </c>
      <c r="U54" s="7">
        <f t="shared" si="48"/>
        <v>0</v>
      </c>
      <c r="V54" s="7">
        <f t="shared" si="49"/>
        <v>0</v>
      </c>
      <c r="W54" s="7">
        <f t="shared" si="50"/>
        <v>0</v>
      </c>
      <c r="X54" s="7">
        <f t="shared" si="51"/>
        <v>0</v>
      </c>
      <c r="Y54" s="7">
        <f t="shared" si="52"/>
        <v>0</v>
      </c>
      <c r="Z54" s="7">
        <f t="shared" si="53"/>
        <v>0</v>
      </c>
      <c r="AA54" s="7">
        <f t="shared" si="54"/>
        <v>0</v>
      </c>
      <c r="AB54" s="6">
        <f t="shared" si="55"/>
        <v>0</v>
      </c>
      <c r="AC54" s="6">
        <f t="shared" si="56"/>
        <v>0</v>
      </c>
      <c r="AD54" s="6">
        <f t="shared" si="57"/>
        <v>0</v>
      </c>
      <c r="AE54" s="6">
        <f t="shared" si="58"/>
        <v>0</v>
      </c>
      <c r="AF54" s="6">
        <f t="shared" si="59"/>
        <v>0</v>
      </c>
      <c r="AG54" s="6">
        <f t="shared" si="60"/>
        <v>0</v>
      </c>
      <c r="AH54" s="6">
        <f t="shared" si="61"/>
        <v>0</v>
      </c>
      <c r="AI54" s="6">
        <f t="shared" si="62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4"/>
        <v>1706</v>
      </c>
      <c r="AW54" t="s">
        <v>5</v>
      </c>
      <c r="AX54" s="8" t="str">
        <f t="shared" si="29"/>
        <v>0,0,0,0,0,0,0,0,0,0</v>
      </c>
      <c r="AY54" s="31"/>
      <c r="AZ54" s="9" t="str">
        <f t="shared" si="30"/>
        <v>1706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5"/>
        <v>1707</v>
      </c>
      <c r="BN54" t="s">
        <v>5</v>
      </c>
      <c r="BO54" s="8" t="str">
        <f t="shared" si="41"/>
        <v>8,0,0,0,0,0,0,0,0,8</v>
      </c>
      <c r="BP54"/>
      <c r="BQ54" s="9" t="str">
        <f t="shared" si="42"/>
        <v>1707 DATA 8,0,0,0,0,0,0,0,0,8</v>
      </c>
    </row>
    <row r="55" spans="19:69">
      <c r="S55" s="4">
        <f t="shared" si="46"/>
        <v>0</v>
      </c>
      <c r="T55" s="7">
        <f t="shared" si="47"/>
        <v>0</v>
      </c>
      <c r="U55" s="7">
        <f t="shared" si="48"/>
        <v>0</v>
      </c>
      <c r="V55" s="7">
        <f t="shared" si="49"/>
        <v>0</v>
      </c>
      <c r="W55" s="7">
        <f t="shared" si="50"/>
        <v>0</v>
      </c>
      <c r="X55" s="7">
        <f t="shared" si="51"/>
        <v>0</v>
      </c>
      <c r="Y55" s="7">
        <f t="shared" si="52"/>
        <v>0</v>
      </c>
      <c r="Z55" s="7">
        <f t="shared" si="53"/>
        <v>0</v>
      </c>
      <c r="AA55" s="7">
        <f t="shared" si="54"/>
        <v>0</v>
      </c>
      <c r="AB55" s="6">
        <f t="shared" si="55"/>
        <v>0</v>
      </c>
      <c r="AC55" s="6">
        <f t="shared" si="56"/>
        <v>0</v>
      </c>
      <c r="AD55" s="6">
        <f t="shared" si="57"/>
        <v>0</v>
      </c>
      <c r="AE55" s="6">
        <f t="shared" si="58"/>
        <v>0</v>
      </c>
      <c r="AF55" s="6">
        <f t="shared" si="59"/>
        <v>0</v>
      </c>
      <c r="AG55" s="6">
        <f t="shared" si="60"/>
        <v>0</v>
      </c>
      <c r="AH55" s="6">
        <f t="shared" si="61"/>
        <v>0</v>
      </c>
      <c r="AI55" s="6">
        <f t="shared" si="62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4"/>
        <v>1708</v>
      </c>
      <c r="AW55" t="s">
        <v>5</v>
      </c>
      <c r="AX55" s="8" t="str">
        <f t="shared" si="29"/>
        <v>0,0,0,0,0,0,0,0,0,0</v>
      </c>
      <c r="AY55" s="31"/>
      <c r="AZ55" s="9" t="str">
        <f t="shared" si="30"/>
        <v>1708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5"/>
        <v>1709</v>
      </c>
      <c r="BN55" t="s">
        <v>5</v>
      </c>
      <c r="BO55" s="8" t="str">
        <f t="shared" si="41"/>
        <v>8,0,0,0,0,0,0,0,0,8</v>
      </c>
      <c r="BP55"/>
      <c r="BQ55" s="9" t="str">
        <f t="shared" si="42"/>
        <v>1709 DATA 8,0,0,0,0,0,0,0,0,8</v>
      </c>
    </row>
    <row r="56" spans="19:69">
      <c r="S56" s="4">
        <f t="shared" si="46"/>
        <v>0</v>
      </c>
      <c r="T56" s="7">
        <f t="shared" si="47"/>
        <v>0</v>
      </c>
      <c r="U56" s="7">
        <f t="shared" si="48"/>
        <v>0</v>
      </c>
      <c r="V56" s="7">
        <f t="shared" si="49"/>
        <v>0</v>
      </c>
      <c r="W56" s="7">
        <f t="shared" si="50"/>
        <v>0</v>
      </c>
      <c r="X56" s="7">
        <f t="shared" si="51"/>
        <v>0</v>
      </c>
      <c r="Y56" s="7">
        <f t="shared" si="52"/>
        <v>0</v>
      </c>
      <c r="Z56" s="7">
        <f t="shared" si="53"/>
        <v>0</v>
      </c>
      <c r="AA56" s="7">
        <f t="shared" si="54"/>
        <v>0</v>
      </c>
      <c r="AB56" s="6">
        <f t="shared" si="55"/>
        <v>0</v>
      </c>
      <c r="AC56" s="6">
        <f t="shared" si="56"/>
        <v>0</v>
      </c>
      <c r="AD56" s="6">
        <f t="shared" si="57"/>
        <v>0</v>
      </c>
      <c r="AE56" s="6">
        <f t="shared" si="58"/>
        <v>0</v>
      </c>
      <c r="AF56" s="6">
        <f t="shared" si="59"/>
        <v>0</v>
      </c>
      <c r="AG56" s="6">
        <f t="shared" si="60"/>
        <v>0</v>
      </c>
      <c r="AH56" s="6">
        <f t="shared" si="61"/>
        <v>0</v>
      </c>
      <c r="AI56" s="6">
        <f t="shared" si="62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4"/>
        <v>1710</v>
      </c>
      <c r="AW56" t="s">
        <v>5</v>
      </c>
      <c r="AX56" s="8" t="str">
        <f t="shared" si="29"/>
        <v>0,0,0,0,0,0,0,0,0,0</v>
      </c>
      <c r="AY56" s="31"/>
      <c r="AZ56" s="9" t="str">
        <f t="shared" si="30"/>
        <v>1710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5"/>
        <v>1711</v>
      </c>
      <c r="BN56" t="s">
        <v>5</v>
      </c>
      <c r="BO56" s="8" t="str">
        <f t="shared" si="41"/>
        <v>8,0,0,0,0,0,0,0,0,8</v>
      </c>
      <c r="BP56"/>
      <c r="BQ56" s="9" t="str">
        <f t="shared" si="42"/>
        <v>1711 DATA 8,0,0,0,0,0,0,0,0,8</v>
      </c>
    </row>
    <row r="57" spans="19:69">
      <c r="S57" s="4">
        <f t="shared" si="46"/>
        <v>0</v>
      </c>
      <c r="T57" s="7">
        <f t="shared" si="47"/>
        <v>0</v>
      </c>
      <c r="U57" s="7">
        <f t="shared" si="48"/>
        <v>0</v>
      </c>
      <c r="V57" s="7">
        <f t="shared" si="49"/>
        <v>0</v>
      </c>
      <c r="W57" s="7">
        <f t="shared" si="50"/>
        <v>0</v>
      </c>
      <c r="X57" s="7">
        <f t="shared" si="51"/>
        <v>0</v>
      </c>
      <c r="Y57" s="7">
        <f t="shared" si="52"/>
        <v>0</v>
      </c>
      <c r="Z57" s="7">
        <f t="shared" si="53"/>
        <v>0</v>
      </c>
      <c r="AA57" s="7">
        <f t="shared" si="54"/>
        <v>0</v>
      </c>
      <c r="AB57" s="6">
        <f t="shared" si="55"/>
        <v>0</v>
      </c>
      <c r="AC57" s="6">
        <f t="shared" si="56"/>
        <v>0</v>
      </c>
      <c r="AD57" s="6">
        <f t="shared" si="57"/>
        <v>0</v>
      </c>
      <c r="AE57" s="6">
        <f t="shared" si="58"/>
        <v>0</v>
      </c>
      <c r="AF57" s="6">
        <f t="shared" si="59"/>
        <v>0</v>
      </c>
      <c r="AG57" s="6">
        <f t="shared" si="60"/>
        <v>0</v>
      </c>
      <c r="AH57" s="6">
        <f t="shared" si="61"/>
        <v>0</v>
      </c>
      <c r="AI57" s="6">
        <f t="shared" si="62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4"/>
        <v>1712</v>
      </c>
      <c r="AW57" t="s">
        <v>5</v>
      </c>
      <c r="AX57" s="8" t="str">
        <f t="shared" si="29"/>
        <v>0,0,0,0,0,0,0,0,0,0</v>
      </c>
      <c r="AY57" s="31"/>
      <c r="AZ57" s="9" t="str">
        <f t="shared" si="30"/>
        <v>1712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5"/>
        <v>1713</v>
      </c>
      <c r="BN57" t="s">
        <v>5</v>
      </c>
      <c r="BO57" s="8" t="str">
        <f t="shared" si="41"/>
        <v>8,0,0,0,0,0,0,0,0,8</v>
      </c>
      <c r="BP57"/>
      <c r="BQ57" s="9" t="str">
        <f t="shared" si="42"/>
        <v>1713 DATA 8,0,0,0,0,0,0,0,0,8</v>
      </c>
    </row>
    <row r="58" spans="19:69">
      <c r="S58" s="4">
        <f t="shared" si="46"/>
        <v>0</v>
      </c>
      <c r="T58" s="7">
        <f t="shared" si="47"/>
        <v>0</v>
      </c>
      <c r="U58" s="7">
        <f t="shared" si="48"/>
        <v>0</v>
      </c>
      <c r="V58" s="7">
        <f t="shared" si="49"/>
        <v>0</v>
      </c>
      <c r="W58" s="7">
        <f t="shared" si="50"/>
        <v>0</v>
      </c>
      <c r="X58" s="7">
        <f t="shared" si="51"/>
        <v>0</v>
      </c>
      <c r="Y58" s="7">
        <f t="shared" si="52"/>
        <v>0</v>
      </c>
      <c r="Z58" s="7">
        <f t="shared" si="53"/>
        <v>0</v>
      </c>
      <c r="AA58" s="7">
        <f t="shared" si="54"/>
        <v>0</v>
      </c>
      <c r="AB58" s="6">
        <f t="shared" si="55"/>
        <v>0</v>
      </c>
      <c r="AC58" s="6">
        <f t="shared" si="56"/>
        <v>0</v>
      </c>
      <c r="AD58" s="6">
        <f t="shared" si="57"/>
        <v>0</v>
      </c>
      <c r="AE58" s="6">
        <f t="shared" si="58"/>
        <v>0</v>
      </c>
      <c r="AF58" s="6">
        <f t="shared" si="59"/>
        <v>0</v>
      </c>
      <c r="AG58" s="6">
        <f t="shared" si="60"/>
        <v>0</v>
      </c>
      <c r="AH58" s="6">
        <f t="shared" si="61"/>
        <v>0</v>
      </c>
      <c r="AI58" s="6">
        <f t="shared" si="62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4"/>
        <v>1714</v>
      </c>
      <c r="AW58" t="s">
        <v>5</v>
      </c>
      <c r="AX58" s="8" t="str">
        <f t="shared" si="29"/>
        <v>0,0,0,0,0,0,0,0,0,0</v>
      </c>
      <c r="AY58" s="31"/>
      <c r="AZ58" s="9" t="str">
        <f t="shared" si="30"/>
        <v>1714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5"/>
        <v>1715</v>
      </c>
      <c r="BN58" t="s">
        <v>5</v>
      </c>
      <c r="BO58" s="8" t="str">
        <f t="shared" si="41"/>
        <v>8,0,0,0,0,0,0,0,0,8</v>
      </c>
      <c r="BP58"/>
      <c r="BQ58" s="9" t="str">
        <f t="shared" si="42"/>
        <v>1715 DATA 8,0,0,0,0,0,0,0,0,8</v>
      </c>
    </row>
    <row r="59" spans="19:69">
      <c r="S59" s="4">
        <f t="shared" si="46"/>
        <v>0</v>
      </c>
      <c r="T59" s="7">
        <f t="shared" si="47"/>
        <v>0</v>
      </c>
      <c r="U59" s="7">
        <f t="shared" si="48"/>
        <v>0</v>
      </c>
      <c r="V59" s="7">
        <f t="shared" si="49"/>
        <v>0</v>
      </c>
      <c r="W59" s="7">
        <f t="shared" si="50"/>
        <v>0</v>
      </c>
      <c r="X59" s="7">
        <f t="shared" si="51"/>
        <v>0</v>
      </c>
      <c r="Y59" s="7">
        <f t="shared" si="52"/>
        <v>0</v>
      </c>
      <c r="Z59" s="7">
        <f t="shared" si="53"/>
        <v>0</v>
      </c>
      <c r="AA59" s="7">
        <f t="shared" si="54"/>
        <v>0</v>
      </c>
      <c r="AB59" s="6">
        <f t="shared" si="55"/>
        <v>0</v>
      </c>
      <c r="AC59" s="6">
        <f t="shared" si="56"/>
        <v>0</v>
      </c>
      <c r="AD59" s="6">
        <f t="shared" si="57"/>
        <v>0</v>
      </c>
      <c r="AE59" s="6">
        <f t="shared" si="58"/>
        <v>0</v>
      </c>
      <c r="AF59" s="6">
        <f t="shared" si="59"/>
        <v>0</v>
      </c>
      <c r="AG59" s="6">
        <f t="shared" si="60"/>
        <v>0</v>
      </c>
      <c r="AH59" s="6">
        <f t="shared" si="61"/>
        <v>0</v>
      </c>
      <c r="AI59" s="6">
        <f t="shared" si="62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4"/>
        <v>1716</v>
      </c>
      <c r="AW59" t="s">
        <v>5</v>
      </c>
      <c r="AX59" s="8" t="str">
        <f t="shared" si="29"/>
        <v>0,0,0,0,0,0,0,0,0,0</v>
      </c>
      <c r="AY59" s="31"/>
      <c r="AZ59" s="9" t="str">
        <f t="shared" si="30"/>
        <v>1716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5"/>
        <v>1717</v>
      </c>
      <c r="BN59" t="s">
        <v>5</v>
      </c>
      <c r="BO59" s="8" t="str">
        <f t="shared" si="41"/>
        <v>8,0,0,0,0,0,0,0,0,8</v>
      </c>
      <c r="BP59"/>
      <c r="BQ59" s="9" t="str">
        <f t="shared" si="42"/>
        <v>1717 DATA 8,0,0,0,0,0,0,0,0,8</v>
      </c>
    </row>
    <row r="60" spans="19:69">
      <c r="S60" s="4">
        <f t="shared" si="46"/>
        <v>0</v>
      </c>
      <c r="T60" s="7">
        <f t="shared" si="47"/>
        <v>0</v>
      </c>
      <c r="U60" s="7">
        <f t="shared" si="48"/>
        <v>0</v>
      </c>
      <c r="V60" s="7">
        <f t="shared" si="49"/>
        <v>0</v>
      </c>
      <c r="W60" s="7">
        <f t="shared" si="50"/>
        <v>0</v>
      </c>
      <c r="X60" s="7">
        <f t="shared" si="51"/>
        <v>0</v>
      </c>
      <c r="Y60" s="7">
        <f t="shared" si="52"/>
        <v>0</v>
      </c>
      <c r="Z60" s="7">
        <f t="shared" si="53"/>
        <v>0</v>
      </c>
      <c r="AA60" s="7">
        <f t="shared" si="54"/>
        <v>0</v>
      </c>
      <c r="AB60" s="6">
        <f t="shared" si="55"/>
        <v>0</v>
      </c>
      <c r="AC60" s="6">
        <f t="shared" si="56"/>
        <v>0</v>
      </c>
      <c r="AD60" s="6">
        <f t="shared" si="57"/>
        <v>0</v>
      </c>
      <c r="AE60" s="6">
        <f t="shared" si="58"/>
        <v>0</v>
      </c>
      <c r="AF60" s="6">
        <f t="shared" si="59"/>
        <v>0</v>
      </c>
      <c r="AG60" s="6">
        <f t="shared" si="60"/>
        <v>0</v>
      </c>
      <c r="AH60" s="6">
        <f t="shared" si="61"/>
        <v>0</v>
      </c>
      <c r="AI60" s="6">
        <f t="shared" si="62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4"/>
        <v>1718</v>
      </c>
      <c r="AW60" t="s">
        <v>5</v>
      </c>
      <c r="AX60" s="8" t="str">
        <f t="shared" si="29"/>
        <v>0,0,0,0,0,0,0,0,0,0</v>
      </c>
      <c r="AY60" s="31"/>
      <c r="AZ60" s="9" t="str">
        <f t="shared" si="30"/>
        <v>1718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5"/>
        <v>1719</v>
      </c>
      <c r="BN60" t="s">
        <v>5</v>
      </c>
      <c r="BO60" s="8" t="str">
        <f t="shared" si="41"/>
        <v>8,0,0,0,0,0,0,0,0,8</v>
      </c>
      <c r="BP60"/>
      <c r="BQ60" s="9" t="str">
        <f t="shared" si="42"/>
        <v>1719 DATA 8,0,0,0,0,0,0,0,0,8</v>
      </c>
    </row>
    <row r="61" spans="19:69">
      <c r="S61" s="4">
        <f t="shared" si="46"/>
        <v>0</v>
      </c>
      <c r="T61" s="7">
        <f t="shared" si="47"/>
        <v>0</v>
      </c>
      <c r="U61" s="7">
        <f t="shared" si="48"/>
        <v>0</v>
      </c>
      <c r="V61" s="7">
        <f t="shared" si="49"/>
        <v>0</v>
      </c>
      <c r="W61" s="7">
        <f t="shared" si="50"/>
        <v>0</v>
      </c>
      <c r="X61" s="7">
        <f t="shared" si="51"/>
        <v>0</v>
      </c>
      <c r="Y61" s="7">
        <f t="shared" si="52"/>
        <v>0</v>
      </c>
      <c r="Z61" s="7">
        <f t="shared" si="53"/>
        <v>0</v>
      </c>
      <c r="AA61" s="7">
        <f t="shared" si="54"/>
        <v>0</v>
      </c>
      <c r="AB61" s="6">
        <f t="shared" si="55"/>
        <v>0</v>
      </c>
      <c r="AC61" s="6">
        <f t="shared" si="56"/>
        <v>0</v>
      </c>
      <c r="AD61" s="6">
        <f t="shared" si="57"/>
        <v>0</v>
      </c>
      <c r="AE61" s="6">
        <f t="shared" si="58"/>
        <v>0</v>
      </c>
      <c r="AF61" s="6">
        <f t="shared" si="59"/>
        <v>0</v>
      </c>
      <c r="AG61" s="6">
        <f t="shared" si="60"/>
        <v>0</v>
      </c>
      <c r="AH61" s="6">
        <f t="shared" si="61"/>
        <v>0</v>
      </c>
      <c r="AI61" s="6">
        <f t="shared" si="62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4"/>
        <v>1720</v>
      </c>
      <c r="AW61" t="s">
        <v>5</v>
      </c>
      <c r="AX61" s="8" t="str">
        <f t="shared" si="29"/>
        <v>0,0,0,0,0,0,0,0,0,0</v>
      </c>
      <c r="AY61" s="31"/>
      <c r="AZ61" s="9" t="str">
        <f t="shared" si="30"/>
        <v>1720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5"/>
        <v>1721</v>
      </c>
      <c r="BN61" t="s">
        <v>5</v>
      </c>
      <c r="BO61" s="8" t="str">
        <f t="shared" si="41"/>
        <v>8,0,0,0,0,0,0,0,0,8</v>
      </c>
      <c r="BP61"/>
      <c r="BQ61" s="9" t="str">
        <f t="shared" si="42"/>
        <v>1721 DATA 8,0,0,0,0,0,0,0,0,8</v>
      </c>
    </row>
    <row r="62" spans="19:69">
      <c r="S62" s="4">
        <f t="shared" si="46"/>
        <v>0</v>
      </c>
      <c r="T62" s="7">
        <f t="shared" si="47"/>
        <v>0</v>
      </c>
      <c r="U62" s="7">
        <f t="shared" si="48"/>
        <v>0</v>
      </c>
      <c r="V62" s="7">
        <f t="shared" si="49"/>
        <v>0</v>
      </c>
      <c r="W62" s="7">
        <f t="shared" si="50"/>
        <v>0</v>
      </c>
      <c r="X62" s="7">
        <f t="shared" si="51"/>
        <v>0</v>
      </c>
      <c r="Y62" s="7">
        <f t="shared" si="52"/>
        <v>0</v>
      </c>
      <c r="Z62" s="7">
        <f t="shared" si="53"/>
        <v>0</v>
      </c>
      <c r="AA62" s="7">
        <f t="shared" si="54"/>
        <v>0</v>
      </c>
      <c r="AB62" s="6">
        <f t="shared" si="55"/>
        <v>0</v>
      </c>
      <c r="AC62" s="6">
        <f t="shared" si="56"/>
        <v>0</v>
      </c>
      <c r="AD62" s="6">
        <f t="shared" si="57"/>
        <v>0</v>
      </c>
      <c r="AE62" s="6">
        <f t="shared" si="58"/>
        <v>0</v>
      </c>
      <c r="AF62" s="6">
        <f t="shared" si="59"/>
        <v>0</v>
      </c>
      <c r="AG62" s="6">
        <f t="shared" si="60"/>
        <v>0</v>
      </c>
      <c r="AH62" s="6">
        <f t="shared" si="61"/>
        <v>0</v>
      </c>
      <c r="AI62" s="6">
        <f t="shared" si="62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4"/>
        <v>1722</v>
      </c>
      <c r="AW62" t="s">
        <v>5</v>
      </c>
      <c r="AX62" s="8" t="str">
        <f t="shared" si="29"/>
        <v>0,0,0,0,0,0,0,0,0,0</v>
      </c>
      <c r="AY62" s="31"/>
      <c r="AZ62" s="9" t="str">
        <f t="shared" si="30"/>
        <v>1722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5"/>
        <v>1723</v>
      </c>
      <c r="BN62" t="s">
        <v>5</v>
      </c>
      <c r="BO62" s="8" t="str">
        <f t="shared" si="41"/>
        <v>8,0,0,0,0,0,0,0,0,8</v>
      </c>
      <c r="BP62"/>
      <c r="BQ62" s="9" t="str">
        <f t="shared" si="42"/>
        <v>1723 DATA 8,0,0,0,0,0,0,0,0,8</v>
      </c>
    </row>
    <row r="63" spans="19:69">
      <c r="S63" s="4">
        <f t="shared" si="46"/>
        <v>0</v>
      </c>
      <c r="T63" s="7">
        <f t="shared" si="47"/>
        <v>0</v>
      </c>
      <c r="U63" s="7">
        <f t="shared" si="48"/>
        <v>0</v>
      </c>
      <c r="V63" s="7">
        <f t="shared" si="49"/>
        <v>0</v>
      </c>
      <c r="W63" s="7">
        <f t="shared" si="50"/>
        <v>0</v>
      </c>
      <c r="X63" s="7">
        <f t="shared" si="51"/>
        <v>0</v>
      </c>
      <c r="Y63" s="7">
        <f t="shared" si="52"/>
        <v>0</v>
      </c>
      <c r="Z63" s="7">
        <f t="shared" si="53"/>
        <v>0</v>
      </c>
      <c r="AA63" s="7">
        <f t="shared" si="54"/>
        <v>0</v>
      </c>
      <c r="AB63" s="6">
        <f t="shared" si="55"/>
        <v>0</v>
      </c>
      <c r="AC63" s="6">
        <f t="shared" si="56"/>
        <v>0</v>
      </c>
      <c r="AD63" s="6">
        <f t="shared" si="57"/>
        <v>0</v>
      </c>
      <c r="AE63" s="6">
        <f t="shared" si="58"/>
        <v>0</v>
      </c>
      <c r="AF63" s="6">
        <f t="shared" si="59"/>
        <v>0</v>
      </c>
      <c r="AG63" s="6">
        <f t="shared" si="60"/>
        <v>0</v>
      </c>
      <c r="AH63" s="6">
        <f t="shared" si="61"/>
        <v>0</v>
      </c>
      <c r="AI63" s="6">
        <f t="shared" si="62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4"/>
        <v>1724</v>
      </c>
      <c r="AW63" t="s">
        <v>5</v>
      </c>
      <c r="AX63" s="8" t="str">
        <f t="shared" si="29"/>
        <v>0,0,0,0,0,0,0,0,0,0</v>
      </c>
      <c r="AY63" s="31"/>
      <c r="AZ63" s="9" t="str">
        <f t="shared" si="30"/>
        <v>1724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5"/>
        <v>1725</v>
      </c>
      <c r="BN63" t="s">
        <v>5</v>
      </c>
      <c r="BO63" s="8" t="str">
        <f t="shared" si="41"/>
        <v>8,0,0,0,0,0,0,0,0,8</v>
      </c>
      <c r="BP63"/>
      <c r="BQ63" s="9" t="str">
        <f t="shared" si="42"/>
        <v>1725 DATA 8,0,0,0,0,0,0,0,0,8</v>
      </c>
    </row>
    <row r="64" spans="19:69">
      <c r="S64" s="4">
        <f t="shared" si="46"/>
        <v>0</v>
      </c>
      <c r="T64" s="7">
        <f t="shared" si="47"/>
        <v>0</v>
      </c>
      <c r="U64" s="7">
        <f t="shared" si="48"/>
        <v>0</v>
      </c>
      <c r="V64" s="7">
        <f t="shared" si="49"/>
        <v>0</v>
      </c>
      <c r="W64" s="7">
        <f t="shared" si="50"/>
        <v>0</v>
      </c>
      <c r="X64" s="7">
        <f t="shared" si="51"/>
        <v>0</v>
      </c>
      <c r="Y64" s="7">
        <f t="shared" si="52"/>
        <v>0</v>
      </c>
      <c r="Z64" s="7">
        <f t="shared" si="53"/>
        <v>0</v>
      </c>
      <c r="AA64" s="7">
        <f t="shared" si="54"/>
        <v>0</v>
      </c>
      <c r="AB64" s="6">
        <f t="shared" si="55"/>
        <v>0</v>
      </c>
      <c r="AC64" s="6">
        <f t="shared" si="56"/>
        <v>0</v>
      </c>
      <c r="AD64" s="6">
        <f t="shared" si="57"/>
        <v>0</v>
      </c>
      <c r="AE64" s="6">
        <f t="shared" si="58"/>
        <v>0</v>
      </c>
      <c r="AF64" s="6">
        <f t="shared" si="59"/>
        <v>0</v>
      </c>
      <c r="AG64" s="6">
        <f t="shared" si="60"/>
        <v>0</v>
      </c>
      <c r="AH64" s="6">
        <f t="shared" si="61"/>
        <v>0</v>
      </c>
      <c r="AI64" s="6">
        <f t="shared" si="62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4"/>
        <v>1726</v>
      </c>
      <c r="AW64" t="s">
        <v>5</v>
      </c>
      <c r="AX64" s="8" t="str">
        <f t="shared" si="29"/>
        <v>0,0,0,0,0,0,0,0,0,0</v>
      </c>
      <c r="AY64" s="31"/>
      <c r="AZ64" s="9" t="str">
        <f t="shared" si="30"/>
        <v>1726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5"/>
        <v>1727</v>
      </c>
      <c r="BN64" t="s">
        <v>5</v>
      </c>
      <c r="BO64" s="8" t="str">
        <f t="shared" si="41"/>
        <v>8,0,0,0,0,0,0,0,0,8</v>
      </c>
      <c r="BP64"/>
      <c r="BQ64" s="9" t="str">
        <f t="shared" si="42"/>
        <v>1727 DATA 8,0,0,0,0,0,0,0,0,8</v>
      </c>
    </row>
    <row r="65" spans="19:69">
      <c r="S65" s="4">
        <f t="shared" si="46"/>
        <v>0</v>
      </c>
      <c r="T65" s="7">
        <f t="shared" si="47"/>
        <v>0</v>
      </c>
      <c r="U65" s="7">
        <f t="shared" si="48"/>
        <v>0</v>
      </c>
      <c r="V65" s="7">
        <f t="shared" si="49"/>
        <v>0</v>
      </c>
      <c r="W65" s="7">
        <f t="shared" si="50"/>
        <v>0</v>
      </c>
      <c r="X65" s="7">
        <f t="shared" si="51"/>
        <v>0</v>
      </c>
      <c r="Y65" s="7">
        <f t="shared" si="52"/>
        <v>0</v>
      </c>
      <c r="Z65" s="7">
        <f t="shared" si="53"/>
        <v>0</v>
      </c>
      <c r="AA65" s="7">
        <f t="shared" si="54"/>
        <v>0</v>
      </c>
      <c r="AB65" s="6">
        <f t="shared" si="55"/>
        <v>0</v>
      </c>
      <c r="AC65" s="6">
        <f t="shared" si="56"/>
        <v>0</v>
      </c>
      <c r="AD65" s="6">
        <f t="shared" si="57"/>
        <v>0</v>
      </c>
      <c r="AE65" s="6">
        <f t="shared" si="58"/>
        <v>0</v>
      </c>
      <c r="AF65" s="6">
        <f t="shared" si="59"/>
        <v>0</v>
      </c>
      <c r="AG65" s="6">
        <f t="shared" si="60"/>
        <v>0</v>
      </c>
      <c r="AH65" s="6">
        <f t="shared" si="61"/>
        <v>0</v>
      </c>
      <c r="AI65" s="6">
        <f t="shared" si="62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4"/>
        <v>1728</v>
      </c>
      <c r="AW65" t="s">
        <v>5</v>
      </c>
      <c r="AX65" s="8" t="str">
        <f t="shared" si="29"/>
        <v>0,0,0,0,0,0,0,0,0,0</v>
      </c>
      <c r="AY65" s="31"/>
      <c r="AZ65" s="9" t="str">
        <f t="shared" si="30"/>
        <v>1728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5"/>
        <v>1729</v>
      </c>
      <c r="BN65" t="s">
        <v>5</v>
      </c>
      <c r="BO65" s="8" t="str">
        <f t="shared" si="41"/>
        <v>8,0,0,0,0,0,0,0,0,8</v>
      </c>
      <c r="BP65"/>
      <c r="BQ65" s="9" t="str">
        <f t="shared" si="42"/>
        <v>1729 DATA 8,0,0,0,0,0,0,0,0,8</v>
      </c>
    </row>
    <row r="66" spans="19:69">
      <c r="S66" s="4">
        <f t="shared" si="46"/>
        <v>0</v>
      </c>
      <c r="T66" s="7">
        <f t="shared" si="47"/>
        <v>0</v>
      </c>
      <c r="U66" s="7">
        <f t="shared" si="48"/>
        <v>0</v>
      </c>
      <c r="V66" s="7">
        <f t="shared" si="49"/>
        <v>0</v>
      </c>
      <c r="W66" s="7">
        <f t="shared" si="50"/>
        <v>0</v>
      </c>
      <c r="X66" s="7">
        <f t="shared" si="51"/>
        <v>0</v>
      </c>
      <c r="Y66" s="7">
        <f t="shared" si="52"/>
        <v>0</v>
      </c>
      <c r="Z66" s="7">
        <f t="shared" si="53"/>
        <v>0</v>
      </c>
      <c r="AA66" s="7">
        <f t="shared" si="54"/>
        <v>0</v>
      </c>
      <c r="AB66" s="6">
        <f t="shared" si="55"/>
        <v>0</v>
      </c>
      <c r="AC66" s="6">
        <f t="shared" si="56"/>
        <v>0</v>
      </c>
      <c r="AD66" s="6">
        <f t="shared" si="57"/>
        <v>0</v>
      </c>
      <c r="AE66" s="6">
        <f t="shared" si="58"/>
        <v>0</v>
      </c>
      <c r="AF66" s="6">
        <f t="shared" si="59"/>
        <v>0</v>
      </c>
      <c r="AG66" s="6">
        <f t="shared" si="60"/>
        <v>0</v>
      </c>
      <c r="AH66" s="6">
        <f t="shared" si="61"/>
        <v>0</v>
      </c>
      <c r="AI66" s="6">
        <f t="shared" si="62"/>
        <v>0</v>
      </c>
      <c r="AK66" s="33">
        <f t="shared" ref="AK66:AK100" si="63">S66</f>
        <v>0</v>
      </c>
      <c r="AL66" s="17">
        <f t="shared" ref="AL66:AL100" si="64">T66</f>
        <v>0</v>
      </c>
      <c r="AM66" s="17">
        <f t="shared" ref="AM66:AM100" si="65">U66</f>
        <v>0</v>
      </c>
      <c r="AN66" s="17">
        <f t="shared" ref="AN66:AN100" si="66">V66</f>
        <v>0</v>
      </c>
      <c r="AO66" s="17">
        <f t="shared" ref="AO66:AO100" si="67">W66</f>
        <v>0</v>
      </c>
      <c r="AP66" s="17">
        <f t="shared" ref="AP66:AP100" si="68">X66</f>
        <v>0</v>
      </c>
      <c r="AQ66" s="17">
        <f t="shared" ref="AQ66:AQ100" si="69">Y66</f>
        <v>0</v>
      </c>
      <c r="AR66" s="17">
        <f t="shared" ref="AR66:AR100" si="70">Z66</f>
        <v>0</v>
      </c>
      <c r="AS66" s="17">
        <f t="shared" ref="AS66:AS100" si="71">AA66</f>
        <v>0</v>
      </c>
      <c r="AT66" s="34">
        <f t="shared" ref="AT66:AT100" si="72">SUM(AK66:AS66)</f>
        <v>0</v>
      </c>
      <c r="AU66" s="31"/>
      <c r="AV66">
        <f t="shared" si="44"/>
        <v>1730</v>
      </c>
      <c r="AW66" t="s">
        <v>5</v>
      </c>
      <c r="AX66" s="8" t="str">
        <f t="shared" ref="AX66:AX100" si="73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4">AV66&amp;" "&amp;AW66&amp;" "&amp;AX66</f>
        <v>1730 DATA 0,0,0,0,0,0,0,0,0,0</v>
      </c>
      <c r="BA66" s="31"/>
      <c r="BB66" s="33">
        <f t="shared" ref="BB66:BB100" si="75">AK66+8</f>
        <v>8</v>
      </c>
      <c r="BC66" s="26">
        <f t="shared" ref="BC66:BC100" si="76">AB66</f>
        <v>0</v>
      </c>
      <c r="BD66" s="26">
        <f t="shared" ref="BD66:BD100" si="77">AC66</f>
        <v>0</v>
      </c>
      <c r="BE66" s="26">
        <f t="shared" ref="BE66:BE100" si="78">AD66</f>
        <v>0</v>
      </c>
      <c r="BF66" s="26">
        <f t="shared" ref="BF66:BF100" si="79">AE66</f>
        <v>0</v>
      </c>
      <c r="BG66" s="26">
        <f t="shared" ref="BG66:BG100" si="80">AF66</f>
        <v>0</v>
      </c>
      <c r="BH66" s="26">
        <f t="shared" ref="BH66:BH100" si="81">AG66</f>
        <v>0</v>
      </c>
      <c r="BI66" s="26">
        <f t="shared" ref="BI66:BI100" si="82">AH66</f>
        <v>0</v>
      </c>
      <c r="BJ66" s="26">
        <f t="shared" ref="BJ66:BJ100" si="83">AI66</f>
        <v>0</v>
      </c>
      <c r="BK66" s="34">
        <f t="shared" ref="BK66:BK100" si="84">SUM(BB66:BJ66)</f>
        <v>8</v>
      </c>
      <c r="BL66" s="31"/>
      <c r="BM66">
        <f t="shared" si="45"/>
        <v>1731</v>
      </c>
      <c r="BN66" t="s">
        <v>5</v>
      </c>
      <c r="BO66" s="8" t="str">
        <f t="shared" ref="BO66:BO100" si="85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6">BM66&amp;" "&amp;BN66&amp;" "&amp;BO66</f>
        <v>1731 DATA 8,0,0,0,0,0,0,0,0,8</v>
      </c>
    </row>
    <row r="67" spans="19:69">
      <c r="S67" s="4">
        <f t="shared" si="46"/>
        <v>0</v>
      </c>
      <c r="T67" s="7">
        <f t="shared" si="47"/>
        <v>0</v>
      </c>
      <c r="U67" s="7">
        <f t="shared" si="48"/>
        <v>0</v>
      </c>
      <c r="V67" s="7">
        <f t="shared" si="49"/>
        <v>0</v>
      </c>
      <c r="W67" s="7">
        <f t="shared" si="50"/>
        <v>0</v>
      </c>
      <c r="X67" s="7">
        <f t="shared" si="51"/>
        <v>0</v>
      </c>
      <c r="Y67" s="7">
        <f t="shared" si="52"/>
        <v>0</v>
      </c>
      <c r="Z67" s="7">
        <f t="shared" si="53"/>
        <v>0</v>
      </c>
      <c r="AA67" s="7">
        <f t="shared" si="54"/>
        <v>0</v>
      </c>
      <c r="AB67" s="6">
        <f t="shared" si="55"/>
        <v>0</v>
      </c>
      <c r="AC67" s="6">
        <f t="shared" si="56"/>
        <v>0</v>
      </c>
      <c r="AD67" s="6">
        <f t="shared" si="57"/>
        <v>0</v>
      </c>
      <c r="AE67" s="6">
        <f t="shared" si="58"/>
        <v>0</v>
      </c>
      <c r="AF67" s="6">
        <f t="shared" si="59"/>
        <v>0</v>
      </c>
      <c r="AG67" s="6">
        <f t="shared" si="60"/>
        <v>0</v>
      </c>
      <c r="AH67" s="6">
        <f t="shared" si="61"/>
        <v>0</v>
      </c>
      <c r="AI67" s="6">
        <f t="shared" si="62"/>
        <v>0</v>
      </c>
      <c r="AK67" s="33">
        <f t="shared" si="63"/>
        <v>0</v>
      </c>
      <c r="AL67" s="17">
        <f t="shared" si="64"/>
        <v>0</v>
      </c>
      <c r="AM67" s="17">
        <f t="shared" si="65"/>
        <v>0</v>
      </c>
      <c r="AN67" s="17">
        <f t="shared" si="66"/>
        <v>0</v>
      </c>
      <c r="AO67" s="17">
        <f t="shared" si="67"/>
        <v>0</v>
      </c>
      <c r="AP67" s="17">
        <f t="shared" si="68"/>
        <v>0</v>
      </c>
      <c r="AQ67" s="17">
        <f t="shared" si="69"/>
        <v>0</v>
      </c>
      <c r="AR67" s="17">
        <f t="shared" si="70"/>
        <v>0</v>
      </c>
      <c r="AS67" s="17">
        <f t="shared" si="71"/>
        <v>0</v>
      </c>
      <c r="AT67" s="34">
        <f t="shared" si="72"/>
        <v>0</v>
      </c>
      <c r="AU67" s="31"/>
      <c r="AV67">
        <f t="shared" ref="AV67:AV100" si="87">AV66+2</f>
        <v>1732</v>
      </c>
      <c r="AW67" t="s">
        <v>5</v>
      </c>
      <c r="AX67" s="8" t="str">
        <f t="shared" si="73"/>
        <v>0,0,0,0,0,0,0,0,0,0</v>
      </c>
      <c r="AY67" s="31"/>
      <c r="AZ67" s="9" t="str">
        <f t="shared" si="74"/>
        <v>1732 DATA 0,0,0,0,0,0,0,0,0,0</v>
      </c>
      <c r="BA67" s="31"/>
      <c r="BB67" s="33">
        <f t="shared" si="75"/>
        <v>8</v>
      </c>
      <c r="BC67" s="26">
        <f t="shared" si="76"/>
        <v>0</v>
      </c>
      <c r="BD67" s="26">
        <f t="shared" si="77"/>
        <v>0</v>
      </c>
      <c r="BE67" s="26">
        <f t="shared" si="78"/>
        <v>0</v>
      </c>
      <c r="BF67" s="26">
        <f t="shared" si="79"/>
        <v>0</v>
      </c>
      <c r="BG67" s="26">
        <f t="shared" si="80"/>
        <v>0</v>
      </c>
      <c r="BH67" s="26">
        <f t="shared" si="81"/>
        <v>0</v>
      </c>
      <c r="BI67" s="26">
        <f t="shared" si="82"/>
        <v>0</v>
      </c>
      <c r="BJ67" s="26">
        <f t="shared" si="83"/>
        <v>0</v>
      </c>
      <c r="BK67" s="34">
        <f t="shared" si="84"/>
        <v>8</v>
      </c>
      <c r="BL67" s="31"/>
      <c r="BM67">
        <f t="shared" ref="BM67:BM100" si="88">BM66+2</f>
        <v>1733</v>
      </c>
      <c r="BN67" t="s">
        <v>5</v>
      </c>
      <c r="BO67" s="8" t="str">
        <f t="shared" si="85"/>
        <v>8,0,0,0,0,0,0,0,0,8</v>
      </c>
      <c r="BP67"/>
      <c r="BQ67" s="9" t="str">
        <f t="shared" si="86"/>
        <v>1733 DATA 8,0,0,0,0,0,0,0,0,8</v>
      </c>
    </row>
    <row r="68" spans="19:69">
      <c r="S68" s="4">
        <f t="shared" si="46"/>
        <v>0</v>
      </c>
      <c r="T68" s="7">
        <f t="shared" si="47"/>
        <v>0</v>
      </c>
      <c r="U68" s="7">
        <f t="shared" si="48"/>
        <v>0</v>
      </c>
      <c r="V68" s="7">
        <f t="shared" si="49"/>
        <v>0</v>
      </c>
      <c r="W68" s="7">
        <f t="shared" si="50"/>
        <v>0</v>
      </c>
      <c r="X68" s="7">
        <f t="shared" si="51"/>
        <v>0</v>
      </c>
      <c r="Y68" s="7">
        <f t="shared" si="52"/>
        <v>0</v>
      </c>
      <c r="Z68" s="7">
        <f t="shared" si="53"/>
        <v>0</v>
      </c>
      <c r="AA68" s="7">
        <f t="shared" si="54"/>
        <v>0</v>
      </c>
      <c r="AB68" s="6">
        <f t="shared" si="55"/>
        <v>0</v>
      </c>
      <c r="AC68" s="6">
        <f t="shared" si="56"/>
        <v>0</v>
      </c>
      <c r="AD68" s="6">
        <f t="shared" si="57"/>
        <v>0</v>
      </c>
      <c r="AE68" s="6">
        <f t="shared" si="58"/>
        <v>0</v>
      </c>
      <c r="AF68" s="6">
        <f t="shared" si="59"/>
        <v>0</v>
      </c>
      <c r="AG68" s="6">
        <f t="shared" si="60"/>
        <v>0</v>
      </c>
      <c r="AH68" s="6">
        <f t="shared" si="61"/>
        <v>0</v>
      </c>
      <c r="AI68" s="6">
        <f t="shared" si="62"/>
        <v>0</v>
      </c>
      <c r="AK68" s="33">
        <f t="shared" si="63"/>
        <v>0</v>
      </c>
      <c r="AL68" s="17">
        <f t="shared" si="64"/>
        <v>0</v>
      </c>
      <c r="AM68" s="17">
        <f t="shared" si="65"/>
        <v>0</v>
      </c>
      <c r="AN68" s="17">
        <f t="shared" si="66"/>
        <v>0</v>
      </c>
      <c r="AO68" s="17">
        <f t="shared" si="67"/>
        <v>0</v>
      </c>
      <c r="AP68" s="17">
        <f t="shared" si="68"/>
        <v>0</v>
      </c>
      <c r="AQ68" s="17">
        <f t="shared" si="69"/>
        <v>0</v>
      </c>
      <c r="AR68" s="17">
        <f t="shared" si="70"/>
        <v>0</v>
      </c>
      <c r="AS68" s="17">
        <f t="shared" si="71"/>
        <v>0</v>
      </c>
      <c r="AT68" s="34">
        <f t="shared" si="72"/>
        <v>0</v>
      </c>
      <c r="AU68" s="31"/>
      <c r="AV68">
        <f t="shared" si="87"/>
        <v>1734</v>
      </c>
      <c r="AW68" t="s">
        <v>5</v>
      </c>
      <c r="AX68" s="8" t="str">
        <f t="shared" si="73"/>
        <v>0,0,0,0,0,0,0,0,0,0</v>
      </c>
      <c r="AY68" s="31"/>
      <c r="AZ68" s="9" t="str">
        <f t="shared" si="74"/>
        <v>1734 DATA 0,0,0,0,0,0,0,0,0,0</v>
      </c>
      <c r="BA68" s="31"/>
      <c r="BB68" s="33">
        <f t="shared" si="75"/>
        <v>8</v>
      </c>
      <c r="BC68" s="26">
        <f t="shared" si="76"/>
        <v>0</v>
      </c>
      <c r="BD68" s="26">
        <f t="shared" si="77"/>
        <v>0</v>
      </c>
      <c r="BE68" s="26">
        <f t="shared" si="78"/>
        <v>0</v>
      </c>
      <c r="BF68" s="26">
        <f t="shared" si="79"/>
        <v>0</v>
      </c>
      <c r="BG68" s="26">
        <f t="shared" si="80"/>
        <v>0</v>
      </c>
      <c r="BH68" s="26">
        <f t="shared" si="81"/>
        <v>0</v>
      </c>
      <c r="BI68" s="26">
        <f t="shared" si="82"/>
        <v>0</v>
      </c>
      <c r="BJ68" s="26">
        <f t="shared" si="83"/>
        <v>0</v>
      </c>
      <c r="BK68" s="34">
        <f t="shared" si="84"/>
        <v>8</v>
      </c>
      <c r="BL68" s="31"/>
      <c r="BM68">
        <f t="shared" si="88"/>
        <v>1735</v>
      </c>
      <c r="BN68" t="s">
        <v>5</v>
      </c>
      <c r="BO68" s="8" t="str">
        <f t="shared" si="85"/>
        <v>8,0,0,0,0,0,0,0,0,8</v>
      </c>
      <c r="BP68"/>
      <c r="BQ68" s="9" t="str">
        <f t="shared" si="86"/>
        <v>1735 DATA 8,0,0,0,0,0,0,0,0,8</v>
      </c>
    </row>
    <row r="69" spans="19:69">
      <c r="S69" s="4">
        <f t="shared" si="46"/>
        <v>0</v>
      </c>
      <c r="T69" s="7">
        <f t="shared" si="47"/>
        <v>0</v>
      </c>
      <c r="U69" s="7">
        <f t="shared" si="48"/>
        <v>0</v>
      </c>
      <c r="V69" s="7">
        <f t="shared" si="49"/>
        <v>0</v>
      </c>
      <c r="W69" s="7">
        <f t="shared" si="50"/>
        <v>0</v>
      </c>
      <c r="X69" s="7">
        <f t="shared" si="51"/>
        <v>0</v>
      </c>
      <c r="Y69" s="7">
        <f t="shared" si="52"/>
        <v>0</v>
      </c>
      <c r="Z69" s="7">
        <f t="shared" si="53"/>
        <v>0</v>
      </c>
      <c r="AA69" s="7">
        <f t="shared" si="54"/>
        <v>0</v>
      </c>
      <c r="AB69" s="6">
        <f t="shared" si="55"/>
        <v>0</v>
      </c>
      <c r="AC69" s="6">
        <f t="shared" si="56"/>
        <v>0</v>
      </c>
      <c r="AD69" s="6">
        <f t="shared" si="57"/>
        <v>0</v>
      </c>
      <c r="AE69" s="6">
        <f t="shared" si="58"/>
        <v>0</v>
      </c>
      <c r="AF69" s="6">
        <f t="shared" si="59"/>
        <v>0</v>
      </c>
      <c r="AG69" s="6">
        <f t="shared" si="60"/>
        <v>0</v>
      </c>
      <c r="AH69" s="6">
        <f t="shared" si="61"/>
        <v>0</v>
      </c>
      <c r="AI69" s="6">
        <f t="shared" si="62"/>
        <v>0</v>
      </c>
      <c r="AK69" s="33">
        <f t="shared" si="63"/>
        <v>0</v>
      </c>
      <c r="AL69" s="17">
        <f t="shared" si="64"/>
        <v>0</v>
      </c>
      <c r="AM69" s="17">
        <f t="shared" si="65"/>
        <v>0</v>
      </c>
      <c r="AN69" s="17">
        <f t="shared" si="66"/>
        <v>0</v>
      </c>
      <c r="AO69" s="17">
        <f t="shared" si="67"/>
        <v>0</v>
      </c>
      <c r="AP69" s="17">
        <f t="shared" si="68"/>
        <v>0</v>
      </c>
      <c r="AQ69" s="17">
        <f t="shared" si="69"/>
        <v>0</v>
      </c>
      <c r="AR69" s="17">
        <f t="shared" si="70"/>
        <v>0</v>
      </c>
      <c r="AS69" s="17">
        <f t="shared" si="71"/>
        <v>0</v>
      </c>
      <c r="AT69" s="34">
        <f t="shared" si="72"/>
        <v>0</v>
      </c>
      <c r="AU69" s="31"/>
      <c r="AV69">
        <f t="shared" si="87"/>
        <v>1736</v>
      </c>
      <c r="AW69" t="s">
        <v>5</v>
      </c>
      <c r="AX69" s="8" t="str">
        <f t="shared" si="73"/>
        <v>0,0,0,0,0,0,0,0,0,0</v>
      </c>
      <c r="AY69" s="31"/>
      <c r="AZ69" s="9" t="str">
        <f t="shared" si="74"/>
        <v>1736 DATA 0,0,0,0,0,0,0,0,0,0</v>
      </c>
      <c r="BA69" s="31"/>
      <c r="BB69" s="33">
        <f t="shared" si="75"/>
        <v>8</v>
      </c>
      <c r="BC69" s="26">
        <f t="shared" si="76"/>
        <v>0</v>
      </c>
      <c r="BD69" s="26">
        <f t="shared" si="77"/>
        <v>0</v>
      </c>
      <c r="BE69" s="26">
        <f t="shared" si="78"/>
        <v>0</v>
      </c>
      <c r="BF69" s="26">
        <f t="shared" si="79"/>
        <v>0</v>
      </c>
      <c r="BG69" s="26">
        <f t="shared" si="80"/>
        <v>0</v>
      </c>
      <c r="BH69" s="26">
        <f t="shared" si="81"/>
        <v>0</v>
      </c>
      <c r="BI69" s="26">
        <f t="shared" si="82"/>
        <v>0</v>
      </c>
      <c r="BJ69" s="26">
        <f t="shared" si="83"/>
        <v>0</v>
      </c>
      <c r="BK69" s="34">
        <f t="shared" si="84"/>
        <v>8</v>
      </c>
      <c r="BL69" s="31"/>
      <c r="BM69">
        <f t="shared" si="88"/>
        <v>1737</v>
      </c>
      <c r="BN69" t="s">
        <v>5</v>
      </c>
      <c r="BO69" s="8" t="str">
        <f t="shared" si="85"/>
        <v>8,0,0,0,0,0,0,0,0,8</v>
      </c>
      <c r="BP69"/>
      <c r="BQ69" s="9" t="str">
        <f t="shared" si="86"/>
        <v>1737 DATA 8,0,0,0,0,0,0,0,0,8</v>
      </c>
    </row>
    <row r="70" spans="19:69">
      <c r="S70" s="4">
        <f t="shared" si="46"/>
        <v>0</v>
      </c>
      <c r="T70" s="7">
        <f t="shared" si="47"/>
        <v>0</v>
      </c>
      <c r="U70" s="7">
        <f t="shared" si="48"/>
        <v>0</v>
      </c>
      <c r="V70" s="7">
        <f t="shared" si="49"/>
        <v>0</v>
      </c>
      <c r="W70" s="7">
        <f t="shared" si="50"/>
        <v>0</v>
      </c>
      <c r="X70" s="7">
        <f t="shared" si="51"/>
        <v>0</v>
      </c>
      <c r="Y70" s="7">
        <f t="shared" si="52"/>
        <v>0</v>
      </c>
      <c r="Z70" s="7">
        <f t="shared" si="53"/>
        <v>0</v>
      </c>
      <c r="AA70" s="7">
        <f t="shared" si="54"/>
        <v>0</v>
      </c>
      <c r="AB70" s="6">
        <f t="shared" si="55"/>
        <v>0</v>
      </c>
      <c r="AC70" s="6">
        <f t="shared" si="56"/>
        <v>0</v>
      </c>
      <c r="AD70" s="6">
        <f t="shared" si="57"/>
        <v>0</v>
      </c>
      <c r="AE70" s="6">
        <f t="shared" si="58"/>
        <v>0</v>
      </c>
      <c r="AF70" s="6">
        <f t="shared" si="59"/>
        <v>0</v>
      </c>
      <c r="AG70" s="6">
        <f t="shared" si="60"/>
        <v>0</v>
      </c>
      <c r="AH70" s="6">
        <f t="shared" si="61"/>
        <v>0</v>
      </c>
      <c r="AI70" s="6">
        <f t="shared" si="62"/>
        <v>0</v>
      </c>
      <c r="AK70" s="33">
        <f t="shared" si="63"/>
        <v>0</v>
      </c>
      <c r="AL70" s="17">
        <f t="shared" si="64"/>
        <v>0</v>
      </c>
      <c r="AM70" s="17">
        <f t="shared" si="65"/>
        <v>0</v>
      </c>
      <c r="AN70" s="17">
        <f t="shared" si="66"/>
        <v>0</v>
      </c>
      <c r="AO70" s="17">
        <f t="shared" si="67"/>
        <v>0</v>
      </c>
      <c r="AP70" s="17">
        <f t="shared" si="68"/>
        <v>0</v>
      </c>
      <c r="AQ70" s="17">
        <f t="shared" si="69"/>
        <v>0</v>
      </c>
      <c r="AR70" s="17">
        <f t="shared" si="70"/>
        <v>0</v>
      </c>
      <c r="AS70" s="17">
        <f t="shared" si="71"/>
        <v>0</v>
      </c>
      <c r="AT70" s="34">
        <f t="shared" si="72"/>
        <v>0</v>
      </c>
      <c r="AU70" s="31"/>
      <c r="AV70">
        <f t="shared" si="87"/>
        <v>1738</v>
      </c>
      <c r="AW70" t="s">
        <v>5</v>
      </c>
      <c r="AX70" s="8" t="str">
        <f t="shared" si="73"/>
        <v>0,0,0,0,0,0,0,0,0,0</v>
      </c>
      <c r="AY70" s="31"/>
      <c r="AZ70" s="9" t="str">
        <f t="shared" si="74"/>
        <v>1738 DATA 0,0,0,0,0,0,0,0,0,0</v>
      </c>
      <c r="BA70" s="31"/>
      <c r="BB70" s="33">
        <f t="shared" si="75"/>
        <v>8</v>
      </c>
      <c r="BC70" s="26">
        <f t="shared" si="76"/>
        <v>0</v>
      </c>
      <c r="BD70" s="26">
        <f t="shared" si="77"/>
        <v>0</v>
      </c>
      <c r="BE70" s="26">
        <f t="shared" si="78"/>
        <v>0</v>
      </c>
      <c r="BF70" s="26">
        <f t="shared" si="79"/>
        <v>0</v>
      </c>
      <c r="BG70" s="26">
        <f t="shared" si="80"/>
        <v>0</v>
      </c>
      <c r="BH70" s="26">
        <f t="shared" si="81"/>
        <v>0</v>
      </c>
      <c r="BI70" s="26">
        <f t="shared" si="82"/>
        <v>0</v>
      </c>
      <c r="BJ70" s="26">
        <f t="shared" si="83"/>
        <v>0</v>
      </c>
      <c r="BK70" s="34">
        <f t="shared" si="84"/>
        <v>8</v>
      </c>
      <c r="BL70" s="31"/>
      <c r="BM70">
        <f t="shared" si="88"/>
        <v>1739</v>
      </c>
      <c r="BN70" t="s">
        <v>5</v>
      </c>
      <c r="BO70" s="8" t="str">
        <f t="shared" si="85"/>
        <v>8,0,0,0,0,0,0,0,0,8</v>
      </c>
      <c r="BP70"/>
      <c r="BQ70" s="9" t="str">
        <f t="shared" si="86"/>
        <v>1739 DATA 8,0,0,0,0,0,0,0,0,8</v>
      </c>
    </row>
    <row r="71" spans="19:69">
      <c r="S71" s="4">
        <f t="shared" si="46"/>
        <v>0</v>
      </c>
      <c r="T71" s="7">
        <f t="shared" si="47"/>
        <v>0</v>
      </c>
      <c r="U71" s="7">
        <f t="shared" si="48"/>
        <v>0</v>
      </c>
      <c r="V71" s="7">
        <f t="shared" si="49"/>
        <v>0</v>
      </c>
      <c r="W71" s="7">
        <f t="shared" si="50"/>
        <v>0</v>
      </c>
      <c r="X71" s="7">
        <f t="shared" si="51"/>
        <v>0</v>
      </c>
      <c r="Y71" s="7">
        <f t="shared" si="52"/>
        <v>0</v>
      </c>
      <c r="Z71" s="7">
        <f t="shared" si="53"/>
        <v>0</v>
      </c>
      <c r="AA71" s="7">
        <f t="shared" si="54"/>
        <v>0</v>
      </c>
      <c r="AB71" s="6">
        <f t="shared" si="55"/>
        <v>0</v>
      </c>
      <c r="AC71" s="6">
        <f t="shared" si="56"/>
        <v>0</v>
      </c>
      <c r="AD71" s="6">
        <f t="shared" si="57"/>
        <v>0</v>
      </c>
      <c r="AE71" s="6">
        <f t="shared" si="58"/>
        <v>0</v>
      </c>
      <c r="AF71" s="6">
        <f t="shared" si="59"/>
        <v>0</v>
      </c>
      <c r="AG71" s="6">
        <f t="shared" si="60"/>
        <v>0</v>
      </c>
      <c r="AH71" s="6">
        <f t="shared" si="61"/>
        <v>0</v>
      </c>
      <c r="AI71" s="6">
        <f t="shared" si="62"/>
        <v>0</v>
      </c>
      <c r="AK71" s="33">
        <f t="shared" si="63"/>
        <v>0</v>
      </c>
      <c r="AL71" s="17">
        <f t="shared" si="64"/>
        <v>0</v>
      </c>
      <c r="AM71" s="17">
        <f t="shared" si="65"/>
        <v>0</v>
      </c>
      <c r="AN71" s="17">
        <f t="shared" si="66"/>
        <v>0</v>
      </c>
      <c r="AO71" s="17">
        <f t="shared" si="67"/>
        <v>0</v>
      </c>
      <c r="AP71" s="17">
        <f t="shared" si="68"/>
        <v>0</v>
      </c>
      <c r="AQ71" s="17">
        <f t="shared" si="69"/>
        <v>0</v>
      </c>
      <c r="AR71" s="17">
        <f t="shared" si="70"/>
        <v>0</v>
      </c>
      <c r="AS71" s="17">
        <f t="shared" si="71"/>
        <v>0</v>
      </c>
      <c r="AT71" s="34">
        <f t="shared" si="72"/>
        <v>0</v>
      </c>
      <c r="AU71" s="31"/>
      <c r="AV71">
        <f t="shared" si="87"/>
        <v>1740</v>
      </c>
      <c r="AW71" t="s">
        <v>5</v>
      </c>
      <c r="AX71" s="8" t="str">
        <f t="shared" si="73"/>
        <v>0,0,0,0,0,0,0,0,0,0</v>
      </c>
      <c r="AY71" s="31"/>
      <c r="AZ71" s="9" t="str">
        <f t="shared" si="74"/>
        <v>1740 DATA 0,0,0,0,0,0,0,0,0,0</v>
      </c>
      <c r="BA71" s="31"/>
      <c r="BB71" s="33">
        <f t="shared" si="75"/>
        <v>8</v>
      </c>
      <c r="BC71" s="26">
        <f t="shared" si="76"/>
        <v>0</v>
      </c>
      <c r="BD71" s="26">
        <f t="shared" si="77"/>
        <v>0</v>
      </c>
      <c r="BE71" s="26">
        <f t="shared" si="78"/>
        <v>0</v>
      </c>
      <c r="BF71" s="26">
        <f t="shared" si="79"/>
        <v>0</v>
      </c>
      <c r="BG71" s="26">
        <f t="shared" si="80"/>
        <v>0</v>
      </c>
      <c r="BH71" s="26">
        <f t="shared" si="81"/>
        <v>0</v>
      </c>
      <c r="BI71" s="26">
        <f t="shared" si="82"/>
        <v>0</v>
      </c>
      <c r="BJ71" s="26">
        <f t="shared" si="83"/>
        <v>0</v>
      </c>
      <c r="BK71" s="34">
        <f t="shared" si="84"/>
        <v>8</v>
      </c>
      <c r="BL71" s="31"/>
      <c r="BM71">
        <f t="shared" si="88"/>
        <v>1741</v>
      </c>
      <c r="BN71" t="s">
        <v>5</v>
      </c>
      <c r="BO71" s="8" t="str">
        <f t="shared" si="85"/>
        <v>8,0,0,0,0,0,0,0,0,8</v>
      </c>
      <c r="BP71"/>
      <c r="BQ71" s="9" t="str">
        <f t="shared" si="86"/>
        <v>1741 DATA 8,0,0,0,0,0,0,0,0,8</v>
      </c>
    </row>
    <row r="72" spans="19:69">
      <c r="S72" s="4">
        <f t="shared" si="46"/>
        <v>0</v>
      </c>
      <c r="T72" s="7">
        <f t="shared" si="47"/>
        <v>0</v>
      </c>
      <c r="U72" s="7">
        <f t="shared" si="48"/>
        <v>0</v>
      </c>
      <c r="V72" s="7">
        <f t="shared" si="49"/>
        <v>0</v>
      </c>
      <c r="W72" s="7">
        <f t="shared" si="50"/>
        <v>0</v>
      </c>
      <c r="X72" s="7">
        <f t="shared" si="51"/>
        <v>0</v>
      </c>
      <c r="Y72" s="7">
        <f t="shared" si="52"/>
        <v>0</v>
      </c>
      <c r="Z72" s="7">
        <f t="shared" si="53"/>
        <v>0</v>
      </c>
      <c r="AA72" s="7">
        <f t="shared" si="54"/>
        <v>0</v>
      </c>
      <c r="AB72" s="6">
        <f t="shared" si="55"/>
        <v>0</v>
      </c>
      <c r="AC72" s="6">
        <f t="shared" si="56"/>
        <v>0</v>
      </c>
      <c r="AD72" s="6">
        <f t="shared" si="57"/>
        <v>0</v>
      </c>
      <c r="AE72" s="6">
        <f t="shared" si="58"/>
        <v>0</v>
      </c>
      <c r="AF72" s="6">
        <f t="shared" si="59"/>
        <v>0</v>
      </c>
      <c r="AG72" s="6">
        <f t="shared" si="60"/>
        <v>0</v>
      </c>
      <c r="AH72" s="6">
        <f t="shared" si="61"/>
        <v>0</v>
      </c>
      <c r="AI72" s="6">
        <f t="shared" si="62"/>
        <v>0</v>
      </c>
      <c r="AK72" s="33">
        <f t="shared" si="63"/>
        <v>0</v>
      </c>
      <c r="AL72" s="17">
        <f t="shared" si="64"/>
        <v>0</v>
      </c>
      <c r="AM72" s="17">
        <f t="shared" si="65"/>
        <v>0</v>
      </c>
      <c r="AN72" s="17">
        <f t="shared" si="66"/>
        <v>0</v>
      </c>
      <c r="AO72" s="17">
        <f t="shared" si="67"/>
        <v>0</v>
      </c>
      <c r="AP72" s="17">
        <f t="shared" si="68"/>
        <v>0</v>
      </c>
      <c r="AQ72" s="17">
        <f t="shared" si="69"/>
        <v>0</v>
      </c>
      <c r="AR72" s="17">
        <f t="shared" si="70"/>
        <v>0</v>
      </c>
      <c r="AS72" s="17">
        <f t="shared" si="71"/>
        <v>0</v>
      </c>
      <c r="AT72" s="34">
        <f t="shared" si="72"/>
        <v>0</v>
      </c>
      <c r="AU72" s="31"/>
      <c r="AV72">
        <f t="shared" si="87"/>
        <v>1742</v>
      </c>
      <c r="AW72" t="s">
        <v>5</v>
      </c>
      <c r="AX72" s="8" t="str">
        <f t="shared" si="73"/>
        <v>0,0,0,0,0,0,0,0,0,0</v>
      </c>
      <c r="AY72" s="31"/>
      <c r="AZ72" s="9" t="str">
        <f t="shared" si="74"/>
        <v>1742 DATA 0,0,0,0,0,0,0,0,0,0</v>
      </c>
      <c r="BA72" s="31"/>
      <c r="BB72" s="33">
        <f t="shared" si="75"/>
        <v>8</v>
      </c>
      <c r="BC72" s="26">
        <f t="shared" si="76"/>
        <v>0</v>
      </c>
      <c r="BD72" s="26">
        <f t="shared" si="77"/>
        <v>0</v>
      </c>
      <c r="BE72" s="26">
        <f t="shared" si="78"/>
        <v>0</v>
      </c>
      <c r="BF72" s="26">
        <f t="shared" si="79"/>
        <v>0</v>
      </c>
      <c r="BG72" s="26">
        <f t="shared" si="80"/>
        <v>0</v>
      </c>
      <c r="BH72" s="26">
        <f t="shared" si="81"/>
        <v>0</v>
      </c>
      <c r="BI72" s="26">
        <f t="shared" si="82"/>
        <v>0</v>
      </c>
      <c r="BJ72" s="26">
        <f t="shared" si="83"/>
        <v>0</v>
      </c>
      <c r="BK72" s="34">
        <f t="shared" si="84"/>
        <v>8</v>
      </c>
      <c r="BL72" s="31"/>
      <c r="BM72">
        <f t="shared" si="88"/>
        <v>1743</v>
      </c>
      <c r="BN72" t="s">
        <v>5</v>
      </c>
      <c r="BO72" s="8" t="str">
        <f t="shared" si="85"/>
        <v>8,0,0,0,0,0,0,0,0,8</v>
      </c>
      <c r="BP72"/>
      <c r="BQ72" s="9" t="str">
        <f t="shared" si="86"/>
        <v>1743 DATA 8,0,0,0,0,0,0,0,0,8</v>
      </c>
    </row>
    <row r="73" spans="19:69">
      <c r="S73" s="4">
        <f t="shared" si="46"/>
        <v>0</v>
      </c>
      <c r="T73" s="7">
        <f t="shared" si="47"/>
        <v>0</v>
      </c>
      <c r="U73" s="7">
        <f t="shared" si="48"/>
        <v>0</v>
      </c>
      <c r="V73" s="7">
        <f t="shared" si="49"/>
        <v>0</v>
      </c>
      <c r="W73" s="7">
        <f t="shared" si="50"/>
        <v>0</v>
      </c>
      <c r="X73" s="7">
        <f t="shared" si="51"/>
        <v>0</v>
      </c>
      <c r="Y73" s="7">
        <f t="shared" si="52"/>
        <v>0</v>
      </c>
      <c r="Z73" s="7">
        <f t="shared" si="53"/>
        <v>0</v>
      </c>
      <c r="AA73" s="7">
        <f t="shared" si="54"/>
        <v>0</v>
      </c>
      <c r="AB73" s="6">
        <f t="shared" si="55"/>
        <v>0</v>
      </c>
      <c r="AC73" s="6">
        <f t="shared" si="56"/>
        <v>0</v>
      </c>
      <c r="AD73" s="6">
        <f t="shared" si="57"/>
        <v>0</v>
      </c>
      <c r="AE73" s="6">
        <f t="shared" si="58"/>
        <v>0</v>
      </c>
      <c r="AF73" s="6">
        <f t="shared" si="59"/>
        <v>0</v>
      </c>
      <c r="AG73" s="6">
        <f t="shared" si="60"/>
        <v>0</v>
      </c>
      <c r="AH73" s="6">
        <f t="shared" si="61"/>
        <v>0</v>
      </c>
      <c r="AI73" s="6">
        <f t="shared" si="62"/>
        <v>0</v>
      </c>
      <c r="AK73" s="33">
        <f t="shared" si="63"/>
        <v>0</v>
      </c>
      <c r="AL73" s="17">
        <f t="shared" si="64"/>
        <v>0</v>
      </c>
      <c r="AM73" s="17">
        <f t="shared" si="65"/>
        <v>0</v>
      </c>
      <c r="AN73" s="17">
        <f t="shared" si="66"/>
        <v>0</v>
      </c>
      <c r="AO73" s="17">
        <f t="shared" si="67"/>
        <v>0</v>
      </c>
      <c r="AP73" s="17">
        <f t="shared" si="68"/>
        <v>0</v>
      </c>
      <c r="AQ73" s="17">
        <f t="shared" si="69"/>
        <v>0</v>
      </c>
      <c r="AR73" s="17">
        <f t="shared" si="70"/>
        <v>0</v>
      </c>
      <c r="AS73" s="17">
        <f t="shared" si="71"/>
        <v>0</v>
      </c>
      <c r="AT73" s="34">
        <f t="shared" si="72"/>
        <v>0</v>
      </c>
      <c r="AU73" s="31"/>
      <c r="AV73">
        <f t="shared" si="87"/>
        <v>1744</v>
      </c>
      <c r="AW73" t="s">
        <v>5</v>
      </c>
      <c r="AX73" s="8" t="str">
        <f t="shared" si="73"/>
        <v>0,0,0,0,0,0,0,0,0,0</v>
      </c>
      <c r="AY73" s="31"/>
      <c r="AZ73" s="9" t="str">
        <f t="shared" si="74"/>
        <v>1744 DATA 0,0,0,0,0,0,0,0,0,0</v>
      </c>
      <c r="BA73" s="31"/>
      <c r="BB73" s="33">
        <f t="shared" si="75"/>
        <v>8</v>
      </c>
      <c r="BC73" s="26">
        <f t="shared" si="76"/>
        <v>0</v>
      </c>
      <c r="BD73" s="26">
        <f t="shared" si="77"/>
        <v>0</v>
      </c>
      <c r="BE73" s="26">
        <f t="shared" si="78"/>
        <v>0</v>
      </c>
      <c r="BF73" s="26">
        <f t="shared" si="79"/>
        <v>0</v>
      </c>
      <c r="BG73" s="26">
        <f t="shared" si="80"/>
        <v>0</v>
      </c>
      <c r="BH73" s="26">
        <f t="shared" si="81"/>
        <v>0</v>
      </c>
      <c r="BI73" s="26">
        <f t="shared" si="82"/>
        <v>0</v>
      </c>
      <c r="BJ73" s="26">
        <f t="shared" si="83"/>
        <v>0</v>
      </c>
      <c r="BK73" s="34">
        <f t="shared" si="84"/>
        <v>8</v>
      </c>
      <c r="BL73" s="31"/>
      <c r="BM73">
        <f t="shared" si="88"/>
        <v>1745</v>
      </c>
      <c r="BN73" t="s">
        <v>5</v>
      </c>
      <c r="BO73" s="8" t="str">
        <f t="shared" si="85"/>
        <v>8,0,0,0,0,0,0,0,0,8</v>
      </c>
      <c r="BP73"/>
      <c r="BQ73" s="9" t="str">
        <f t="shared" si="86"/>
        <v>1745 DATA 8,0,0,0,0,0,0,0,0,8</v>
      </c>
    </row>
    <row r="74" spans="19:69">
      <c r="S74" s="4">
        <f t="shared" si="46"/>
        <v>0</v>
      </c>
      <c r="T74" s="7">
        <f t="shared" si="47"/>
        <v>0</v>
      </c>
      <c r="U74" s="7">
        <f t="shared" si="48"/>
        <v>0</v>
      </c>
      <c r="V74" s="7">
        <f t="shared" si="49"/>
        <v>0</v>
      </c>
      <c r="W74" s="7">
        <f t="shared" si="50"/>
        <v>0</v>
      </c>
      <c r="X74" s="7">
        <f t="shared" si="51"/>
        <v>0</v>
      </c>
      <c r="Y74" s="7">
        <f t="shared" si="52"/>
        <v>0</v>
      </c>
      <c r="Z74" s="7">
        <f t="shared" si="53"/>
        <v>0</v>
      </c>
      <c r="AA74" s="7">
        <f t="shared" si="54"/>
        <v>0</v>
      </c>
      <c r="AB74" s="6">
        <f t="shared" si="55"/>
        <v>0</v>
      </c>
      <c r="AC74" s="6">
        <f t="shared" si="56"/>
        <v>0</v>
      </c>
      <c r="AD74" s="6">
        <f t="shared" si="57"/>
        <v>0</v>
      </c>
      <c r="AE74" s="6">
        <f t="shared" si="58"/>
        <v>0</v>
      </c>
      <c r="AF74" s="6">
        <f t="shared" si="59"/>
        <v>0</v>
      </c>
      <c r="AG74" s="6">
        <f t="shared" si="60"/>
        <v>0</v>
      </c>
      <c r="AH74" s="6">
        <f t="shared" si="61"/>
        <v>0</v>
      </c>
      <c r="AI74" s="6">
        <f t="shared" si="62"/>
        <v>0</v>
      </c>
      <c r="AK74" s="33">
        <f t="shared" si="63"/>
        <v>0</v>
      </c>
      <c r="AL74" s="17">
        <f t="shared" si="64"/>
        <v>0</v>
      </c>
      <c r="AM74" s="17">
        <f t="shared" si="65"/>
        <v>0</v>
      </c>
      <c r="AN74" s="17">
        <f t="shared" si="66"/>
        <v>0</v>
      </c>
      <c r="AO74" s="17">
        <f t="shared" si="67"/>
        <v>0</v>
      </c>
      <c r="AP74" s="17">
        <f t="shared" si="68"/>
        <v>0</v>
      </c>
      <c r="AQ74" s="17">
        <f t="shared" si="69"/>
        <v>0</v>
      </c>
      <c r="AR74" s="17">
        <f t="shared" si="70"/>
        <v>0</v>
      </c>
      <c r="AS74" s="17">
        <f t="shared" si="71"/>
        <v>0</v>
      </c>
      <c r="AT74" s="34">
        <f t="shared" si="72"/>
        <v>0</v>
      </c>
      <c r="AU74" s="31"/>
      <c r="AV74">
        <f t="shared" si="87"/>
        <v>1746</v>
      </c>
      <c r="AW74" t="s">
        <v>5</v>
      </c>
      <c r="AX74" s="8" t="str">
        <f t="shared" si="73"/>
        <v>0,0,0,0,0,0,0,0,0,0</v>
      </c>
      <c r="AY74" s="31"/>
      <c r="AZ74" s="9" t="str">
        <f t="shared" si="74"/>
        <v>1746 DATA 0,0,0,0,0,0,0,0,0,0</v>
      </c>
      <c r="BA74" s="31"/>
      <c r="BB74" s="33">
        <f t="shared" si="75"/>
        <v>8</v>
      </c>
      <c r="BC74" s="26">
        <f t="shared" si="76"/>
        <v>0</v>
      </c>
      <c r="BD74" s="26">
        <f t="shared" si="77"/>
        <v>0</v>
      </c>
      <c r="BE74" s="26">
        <f t="shared" si="78"/>
        <v>0</v>
      </c>
      <c r="BF74" s="26">
        <f t="shared" si="79"/>
        <v>0</v>
      </c>
      <c r="BG74" s="26">
        <f t="shared" si="80"/>
        <v>0</v>
      </c>
      <c r="BH74" s="26">
        <f t="shared" si="81"/>
        <v>0</v>
      </c>
      <c r="BI74" s="26">
        <f t="shared" si="82"/>
        <v>0</v>
      </c>
      <c r="BJ74" s="26">
        <f t="shared" si="83"/>
        <v>0</v>
      </c>
      <c r="BK74" s="34">
        <f t="shared" si="84"/>
        <v>8</v>
      </c>
      <c r="BL74" s="31"/>
      <c r="BM74">
        <f t="shared" si="88"/>
        <v>1747</v>
      </c>
      <c r="BN74" t="s">
        <v>5</v>
      </c>
      <c r="BO74" s="8" t="str">
        <f t="shared" si="85"/>
        <v>8,0,0,0,0,0,0,0,0,8</v>
      </c>
      <c r="BP74"/>
      <c r="BQ74" s="9" t="str">
        <f t="shared" si="86"/>
        <v>1747 DATA 8,0,0,0,0,0,0,0,0,8</v>
      </c>
    </row>
    <row r="75" spans="19:69">
      <c r="S75" s="4">
        <f t="shared" si="46"/>
        <v>0</v>
      </c>
      <c r="T75" s="7">
        <f t="shared" si="47"/>
        <v>0</v>
      </c>
      <c r="U75" s="7">
        <f t="shared" si="48"/>
        <v>0</v>
      </c>
      <c r="V75" s="7">
        <f t="shared" si="49"/>
        <v>0</v>
      </c>
      <c r="W75" s="7">
        <f t="shared" si="50"/>
        <v>0</v>
      </c>
      <c r="X75" s="7">
        <f t="shared" si="51"/>
        <v>0</v>
      </c>
      <c r="Y75" s="7">
        <f t="shared" si="52"/>
        <v>0</v>
      </c>
      <c r="Z75" s="7">
        <f t="shared" si="53"/>
        <v>0</v>
      </c>
      <c r="AA75" s="7">
        <f t="shared" si="54"/>
        <v>0</v>
      </c>
      <c r="AB75" s="6">
        <f t="shared" si="55"/>
        <v>0</v>
      </c>
      <c r="AC75" s="6">
        <f t="shared" si="56"/>
        <v>0</v>
      </c>
      <c r="AD75" s="6">
        <f t="shared" si="57"/>
        <v>0</v>
      </c>
      <c r="AE75" s="6">
        <f t="shared" si="58"/>
        <v>0</v>
      </c>
      <c r="AF75" s="6">
        <f t="shared" si="59"/>
        <v>0</v>
      </c>
      <c r="AG75" s="6">
        <f t="shared" si="60"/>
        <v>0</v>
      </c>
      <c r="AH75" s="6">
        <f t="shared" si="61"/>
        <v>0</v>
      </c>
      <c r="AI75" s="6">
        <f t="shared" si="62"/>
        <v>0</v>
      </c>
      <c r="AK75" s="33">
        <f t="shared" si="63"/>
        <v>0</v>
      </c>
      <c r="AL75" s="17">
        <f t="shared" si="64"/>
        <v>0</v>
      </c>
      <c r="AM75" s="17">
        <f t="shared" si="65"/>
        <v>0</v>
      </c>
      <c r="AN75" s="17">
        <f t="shared" si="66"/>
        <v>0</v>
      </c>
      <c r="AO75" s="17">
        <f t="shared" si="67"/>
        <v>0</v>
      </c>
      <c r="AP75" s="17">
        <f t="shared" si="68"/>
        <v>0</v>
      </c>
      <c r="AQ75" s="17">
        <f t="shared" si="69"/>
        <v>0</v>
      </c>
      <c r="AR75" s="17">
        <f t="shared" si="70"/>
        <v>0</v>
      </c>
      <c r="AS75" s="17">
        <f t="shared" si="71"/>
        <v>0</v>
      </c>
      <c r="AT75" s="34">
        <f t="shared" si="72"/>
        <v>0</v>
      </c>
      <c r="AU75" s="31"/>
      <c r="AV75">
        <f t="shared" si="87"/>
        <v>1748</v>
      </c>
      <c r="AW75" t="s">
        <v>5</v>
      </c>
      <c r="AX75" s="8" t="str">
        <f t="shared" si="73"/>
        <v>0,0,0,0,0,0,0,0,0,0</v>
      </c>
      <c r="AY75" s="31"/>
      <c r="AZ75" s="9" t="str">
        <f t="shared" si="74"/>
        <v>1748 DATA 0,0,0,0,0,0,0,0,0,0</v>
      </c>
      <c r="BA75" s="31"/>
      <c r="BB75" s="33">
        <f t="shared" si="75"/>
        <v>8</v>
      </c>
      <c r="BC75" s="26">
        <f t="shared" si="76"/>
        <v>0</v>
      </c>
      <c r="BD75" s="26">
        <f t="shared" si="77"/>
        <v>0</v>
      </c>
      <c r="BE75" s="26">
        <f t="shared" si="78"/>
        <v>0</v>
      </c>
      <c r="BF75" s="26">
        <f t="shared" si="79"/>
        <v>0</v>
      </c>
      <c r="BG75" s="26">
        <f t="shared" si="80"/>
        <v>0</v>
      </c>
      <c r="BH75" s="26">
        <f t="shared" si="81"/>
        <v>0</v>
      </c>
      <c r="BI75" s="26">
        <f t="shared" si="82"/>
        <v>0</v>
      </c>
      <c r="BJ75" s="26">
        <f t="shared" si="83"/>
        <v>0</v>
      </c>
      <c r="BK75" s="34">
        <f t="shared" si="84"/>
        <v>8</v>
      </c>
      <c r="BL75" s="31"/>
      <c r="BM75">
        <f t="shared" si="88"/>
        <v>1749</v>
      </c>
      <c r="BN75" t="s">
        <v>5</v>
      </c>
      <c r="BO75" s="8" t="str">
        <f t="shared" si="85"/>
        <v>8,0,0,0,0,0,0,0,0,8</v>
      </c>
      <c r="BP75"/>
      <c r="BQ75" s="9" t="str">
        <f t="shared" si="86"/>
        <v>1749 DATA 8,0,0,0,0,0,0,0,0,8</v>
      </c>
    </row>
    <row r="76" spans="19:69">
      <c r="S76" s="4">
        <f t="shared" si="46"/>
        <v>0</v>
      </c>
      <c r="T76" s="7">
        <f t="shared" si="47"/>
        <v>0</v>
      </c>
      <c r="U76" s="7">
        <f t="shared" si="48"/>
        <v>0</v>
      </c>
      <c r="V76" s="7">
        <f t="shared" si="49"/>
        <v>0</v>
      </c>
      <c r="W76" s="7">
        <f t="shared" si="50"/>
        <v>0</v>
      </c>
      <c r="X76" s="7">
        <f t="shared" si="51"/>
        <v>0</v>
      </c>
      <c r="Y76" s="7">
        <f t="shared" si="52"/>
        <v>0</v>
      </c>
      <c r="Z76" s="7">
        <f t="shared" si="53"/>
        <v>0</v>
      </c>
      <c r="AA76" s="7">
        <f t="shared" si="54"/>
        <v>0</v>
      </c>
      <c r="AB76" s="6">
        <f t="shared" si="55"/>
        <v>0</v>
      </c>
      <c r="AC76" s="6">
        <f t="shared" si="56"/>
        <v>0</v>
      </c>
      <c r="AD76" s="6">
        <f t="shared" si="57"/>
        <v>0</v>
      </c>
      <c r="AE76" s="6">
        <f t="shared" si="58"/>
        <v>0</v>
      </c>
      <c r="AF76" s="6">
        <f t="shared" si="59"/>
        <v>0</v>
      </c>
      <c r="AG76" s="6">
        <f t="shared" si="60"/>
        <v>0</v>
      </c>
      <c r="AH76" s="6">
        <f t="shared" si="61"/>
        <v>0</v>
      </c>
      <c r="AI76" s="6">
        <f t="shared" si="62"/>
        <v>0</v>
      </c>
      <c r="AK76" s="33">
        <f t="shared" si="63"/>
        <v>0</v>
      </c>
      <c r="AL76" s="17">
        <f t="shared" si="64"/>
        <v>0</v>
      </c>
      <c r="AM76" s="17">
        <f t="shared" si="65"/>
        <v>0</v>
      </c>
      <c r="AN76" s="17">
        <f t="shared" si="66"/>
        <v>0</v>
      </c>
      <c r="AO76" s="17">
        <f t="shared" si="67"/>
        <v>0</v>
      </c>
      <c r="AP76" s="17">
        <f t="shared" si="68"/>
        <v>0</v>
      </c>
      <c r="AQ76" s="17">
        <f t="shared" si="69"/>
        <v>0</v>
      </c>
      <c r="AR76" s="17">
        <f t="shared" si="70"/>
        <v>0</v>
      </c>
      <c r="AS76" s="17">
        <f t="shared" si="71"/>
        <v>0</v>
      </c>
      <c r="AT76" s="34">
        <f t="shared" si="72"/>
        <v>0</v>
      </c>
      <c r="AU76" s="31"/>
      <c r="AV76">
        <f t="shared" si="87"/>
        <v>1750</v>
      </c>
      <c r="AW76" t="s">
        <v>5</v>
      </c>
      <c r="AX76" s="8" t="str">
        <f t="shared" si="73"/>
        <v>0,0,0,0,0,0,0,0,0,0</v>
      </c>
      <c r="AY76" s="31"/>
      <c r="AZ76" s="9" t="str">
        <f t="shared" si="74"/>
        <v>1750 DATA 0,0,0,0,0,0,0,0,0,0</v>
      </c>
      <c r="BA76" s="31"/>
      <c r="BB76" s="33">
        <f t="shared" si="75"/>
        <v>8</v>
      </c>
      <c r="BC76" s="26">
        <f t="shared" si="76"/>
        <v>0</v>
      </c>
      <c r="BD76" s="26">
        <f t="shared" si="77"/>
        <v>0</v>
      </c>
      <c r="BE76" s="26">
        <f t="shared" si="78"/>
        <v>0</v>
      </c>
      <c r="BF76" s="26">
        <f t="shared" si="79"/>
        <v>0</v>
      </c>
      <c r="BG76" s="26">
        <f t="shared" si="80"/>
        <v>0</v>
      </c>
      <c r="BH76" s="26">
        <f t="shared" si="81"/>
        <v>0</v>
      </c>
      <c r="BI76" s="26">
        <f t="shared" si="82"/>
        <v>0</v>
      </c>
      <c r="BJ76" s="26">
        <f t="shared" si="83"/>
        <v>0</v>
      </c>
      <c r="BK76" s="34">
        <f t="shared" si="84"/>
        <v>8</v>
      </c>
      <c r="BL76" s="31"/>
      <c r="BM76">
        <f t="shared" si="88"/>
        <v>1751</v>
      </c>
      <c r="BN76" t="s">
        <v>5</v>
      </c>
      <c r="BO76" s="8" t="str">
        <f t="shared" si="85"/>
        <v>8,0,0,0,0,0,0,0,0,8</v>
      </c>
      <c r="BP76"/>
      <c r="BQ76" s="9" t="str">
        <f t="shared" si="86"/>
        <v>1751 DATA 8,0,0,0,0,0,0,0,0,8</v>
      </c>
    </row>
    <row r="77" spans="19:69">
      <c r="S77" s="4">
        <f t="shared" si="46"/>
        <v>0</v>
      </c>
      <c r="T77" s="7">
        <f t="shared" si="47"/>
        <v>0</v>
      </c>
      <c r="U77" s="7">
        <f t="shared" si="48"/>
        <v>0</v>
      </c>
      <c r="V77" s="7">
        <f t="shared" si="49"/>
        <v>0</v>
      </c>
      <c r="W77" s="7">
        <f t="shared" si="50"/>
        <v>0</v>
      </c>
      <c r="X77" s="7">
        <f t="shared" si="51"/>
        <v>0</v>
      </c>
      <c r="Y77" s="7">
        <f t="shared" si="52"/>
        <v>0</v>
      </c>
      <c r="Z77" s="7">
        <f t="shared" si="53"/>
        <v>0</v>
      </c>
      <c r="AA77" s="7">
        <f t="shared" si="54"/>
        <v>0</v>
      </c>
      <c r="AB77" s="6">
        <f t="shared" si="55"/>
        <v>0</v>
      </c>
      <c r="AC77" s="6">
        <f t="shared" si="56"/>
        <v>0</v>
      </c>
      <c r="AD77" s="6">
        <f t="shared" si="57"/>
        <v>0</v>
      </c>
      <c r="AE77" s="6">
        <f t="shared" si="58"/>
        <v>0</v>
      </c>
      <c r="AF77" s="6">
        <f t="shared" si="59"/>
        <v>0</v>
      </c>
      <c r="AG77" s="6">
        <f t="shared" si="60"/>
        <v>0</v>
      </c>
      <c r="AH77" s="6">
        <f t="shared" si="61"/>
        <v>0</v>
      </c>
      <c r="AI77" s="6">
        <f t="shared" si="62"/>
        <v>0</v>
      </c>
      <c r="AK77" s="33">
        <f t="shared" si="63"/>
        <v>0</v>
      </c>
      <c r="AL77" s="17">
        <f t="shared" si="64"/>
        <v>0</v>
      </c>
      <c r="AM77" s="17">
        <f t="shared" si="65"/>
        <v>0</v>
      </c>
      <c r="AN77" s="17">
        <f t="shared" si="66"/>
        <v>0</v>
      </c>
      <c r="AO77" s="17">
        <f t="shared" si="67"/>
        <v>0</v>
      </c>
      <c r="AP77" s="17">
        <f t="shared" si="68"/>
        <v>0</v>
      </c>
      <c r="AQ77" s="17">
        <f t="shared" si="69"/>
        <v>0</v>
      </c>
      <c r="AR77" s="17">
        <f t="shared" si="70"/>
        <v>0</v>
      </c>
      <c r="AS77" s="17">
        <f t="shared" si="71"/>
        <v>0</v>
      </c>
      <c r="AT77" s="34">
        <f t="shared" si="72"/>
        <v>0</v>
      </c>
      <c r="AU77" s="31"/>
      <c r="AV77">
        <f t="shared" si="87"/>
        <v>1752</v>
      </c>
      <c r="AW77" t="s">
        <v>5</v>
      </c>
      <c r="AX77" s="8" t="str">
        <f t="shared" si="73"/>
        <v>0,0,0,0,0,0,0,0,0,0</v>
      </c>
      <c r="AY77" s="31"/>
      <c r="AZ77" s="9" t="str">
        <f t="shared" si="74"/>
        <v>1752 DATA 0,0,0,0,0,0,0,0,0,0</v>
      </c>
      <c r="BA77" s="31"/>
      <c r="BB77" s="33">
        <f t="shared" si="75"/>
        <v>8</v>
      </c>
      <c r="BC77" s="26">
        <f t="shared" si="76"/>
        <v>0</v>
      </c>
      <c r="BD77" s="26">
        <f t="shared" si="77"/>
        <v>0</v>
      </c>
      <c r="BE77" s="26">
        <f t="shared" si="78"/>
        <v>0</v>
      </c>
      <c r="BF77" s="26">
        <f t="shared" si="79"/>
        <v>0</v>
      </c>
      <c r="BG77" s="26">
        <f t="shared" si="80"/>
        <v>0</v>
      </c>
      <c r="BH77" s="26">
        <f t="shared" si="81"/>
        <v>0</v>
      </c>
      <c r="BI77" s="26">
        <f t="shared" si="82"/>
        <v>0</v>
      </c>
      <c r="BJ77" s="26">
        <f t="shared" si="83"/>
        <v>0</v>
      </c>
      <c r="BK77" s="34">
        <f t="shared" si="84"/>
        <v>8</v>
      </c>
      <c r="BL77" s="31"/>
      <c r="BM77">
        <f t="shared" si="88"/>
        <v>1753</v>
      </c>
      <c r="BN77" t="s">
        <v>5</v>
      </c>
      <c r="BO77" s="8" t="str">
        <f t="shared" si="85"/>
        <v>8,0,0,0,0,0,0,0,0,8</v>
      </c>
      <c r="BP77"/>
      <c r="BQ77" s="9" t="str">
        <f t="shared" si="86"/>
        <v>1753 DATA 8,0,0,0,0,0,0,0,0,8</v>
      </c>
    </row>
    <row r="78" spans="19:69">
      <c r="S78" s="4">
        <f t="shared" si="46"/>
        <v>0</v>
      </c>
      <c r="T78" s="7">
        <f t="shared" si="47"/>
        <v>0</v>
      </c>
      <c r="U78" s="7">
        <f t="shared" si="48"/>
        <v>0</v>
      </c>
      <c r="V78" s="7">
        <f t="shared" si="49"/>
        <v>0</v>
      </c>
      <c r="W78" s="7">
        <f t="shared" si="50"/>
        <v>0</v>
      </c>
      <c r="X78" s="7">
        <f t="shared" si="51"/>
        <v>0</v>
      </c>
      <c r="Y78" s="7">
        <f t="shared" si="52"/>
        <v>0</v>
      </c>
      <c r="Z78" s="7">
        <f t="shared" si="53"/>
        <v>0</v>
      </c>
      <c r="AA78" s="7">
        <f t="shared" si="54"/>
        <v>0</v>
      </c>
      <c r="AB78" s="6">
        <f t="shared" si="55"/>
        <v>0</v>
      </c>
      <c r="AC78" s="6">
        <f t="shared" si="56"/>
        <v>0</v>
      </c>
      <c r="AD78" s="6">
        <f t="shared" si="57"/>
        <v>0</v>
      </c>
      <c r="AE78" s="6">
        <f t="shared" si="58"/>
        <v>0</v>
      </c>
      <c r="AF78" s="6">
        <f t="shared" si="59"/>
        <v>0</v>
      </c>
      <c r="AG78" s="6">
        <f t="shared" si="60"/>
        <v>0</v>
      </c>
      <c r="AH78" s="6">
        <f t="shared" si="61"/>
        <v>0</v>
      </c>
      <c r="AI78" s="6">
        <f t="shared" si="62"/>
        <v>0</v>
      </c>
      <c r="AK78" s="33">
        <f t="shared" si="63"/>
        <v>0</v>
      </c>
      <c r="AL78" s="17">
        <f t="shared" si="64"/>
        <v>0</v>
      </c>
      <c r="AM78" s="17">
        <f t="shared" si="65"/>
        <v>0</v>
      </c>
      <c r="AN78" s="17">
        <f t="shared" si="66"/>
        <v>0</v>
      </c>
      <c r="AO78" s="17">
        <f t="shared" si="67"/>
        <v>0</v>
      </c>
      <c r="AP78" s="17">
        <f t="shared" si="68"/>
        <v>0</v>
      </c>
      <c r="AQ78" s="17">
        <f t="shared" si="69"/>
        <v>0</v>
      </c>
      <c r="AR78" s="17">
        <f t="shared" si="70"/>
        <v>0</v>
      </c>
      <c r="AS78" s="17">
        <f t="shared" si="71"/>
        <v>0</v>
      </c>
      <c r="AT78" s="34">
        <f t="shared" si="72"/>
        <v>0</v>
      </c>
      <c r="AU78" s="31"/>
      <c r="AV78">
        <f t="shared" si="87"/>
        <v>1754</v>
      </c>
      <c r="AW78" t="s">
        <v>5</v>
      </c>
      <c r="AX78" s="8" t="str">
        <f t="shared" si="73"/>
        <v>0,0,0,0,0,0,0,0,0,0</v>
      </c>
      <c r="AY78" s="31"/>
      <c r="AZ78" s="9" t="str">
        <f t="shared" si="74"/>
        <v>1754 DATA 0,0,0,0,0,0,0,0,0,0</v>
      </c>
      <c r="BA78" s="31"/>
      <c r="BB78" s="33">
        <f t="shared" si="75"/>
        <v>8</v>
      </c>
      <c r="BC78" s="26">
        <f t="shared" si="76"/>
        <v>0</v>
      </c>
      <c r="BD78" s="26">
        <f t="shared" si="77"/>
        <v>0</v>
      </c>
      <c r="BE78" s="26">
        <f t="shared" si="78"/>
        <v>0</v>
      </c>
      <c r="BF78" s="26">
        <f t="shared" si="79"/>
        <v>0</v>
      </c>
      <c r="BG78" s="26">
        <f t="shared" si="80"/>
        <v>0</v>
      </c>
      <c r="BH78" s="26">
        <f t="shared" si="81"/>
        <v>0</v>
      </c>
      <c r="BI78" s="26">
        <f t="shared" si="82"/>
        <v>0</v>
      </c>
      <c r="BJ78" s="26">
        <f t="shared" si="83"/>
        <v>0</v>
      </c>
      <c r="BK78" s="34">
        <f t="shared" si="84"/>
        <v>8</v>
      </c>
      <c r="BL78" s="31"/>
      <c r="BM78">
        <f t="shared" si="88"/>
        <v>1755</v>
      </c>
      <c r="BN78" t="s">
        <v>5</v>
      </c>
      <c r="BO78" s="8" t="str">
        <f t="shared" si="85"/>
        <v>8,0,0,0,0,0,0,0,0,8</v>
      </c>
      <c r="BP78"/>
      <c r="BQ78" s="9" t="str">
        <f t="shared" si="86"/>
        <v>1755 DATA 8,0,0,0,0,0,0,0,0,8</v>
      </c>
    </row>
    <row r="79" spans="19:69">
      <c r="S79" s="4">
        <f t="shared" si="46"/>
        <v>0</v>
      </c>
      <c r="T79" s="7">
        <f t="shared" si="47"/>
        <v>0</v>
      </c>
      <c r="U79" s="7">
        <f t="shared" si="48"/>
        <v>0</v>
      </c>
      <c r="V79" s="7">
        <f t="shared" si="49"/>
        <v>0</v>
      </c>
      <c r="W79" s="7">
        <f t="shared" si="50"/>
        <v>0</v>
      </c>
      <c r="X79" s="7">
        <f t="shared" si="51"/>
        <v>0</v>
      </c>
      <c r="Y79" s="7">
        <f t="shared" si="52"/>
        <v>0</v>
      </c>
      <c r="Z79" s="7">
        <f t="shared" si="53"/>
        <v>0</v>
      </c>
      <c r="AA79" s="7">
        <f t="shared" si="54"/>
        <v>0</v>
      </c>
      <c r="AB79" s="6">
        <f t="shared" si="55"/>
        <v>0</v>
      </c>
      <c r="AC79" s="6">
        <f t="shared" si="56"/>
        <v>0</v>
      </c>
      <c r="AD79" s="6">
        <f t="shared" si="57"/>
        <v>0</v>
      </c>
      <c r="AE79" s="6">
        <f t="shared" si="58"/>
        <v>0</v>
      </c>
      <c r="AF79" s="6">
        <f t="shared" si="59"/>
        <v>0</v>
      </c>
      <c r="AG79" s="6">
        <f t="shared" si="60"/>
        <v>0</v>
      </c>
      <c r="AH79" s="6">
        <f t="shared" si="61"/>
        <v>0</v>
      </c>
      <c r="AI79" s="6">
        <f t="shared" si="62"/>
        <v>0</v>
      </c>
      <c r="AK79" s="33">
        <f t="shared" si="63"/>
        <v>0</v>
      </c>
      <c r="AL79" s="17">
        <f t="shared" si="64"/>
        <v>0</v>
      </c>
      <c r="AM79" s="17">
        <f t="shared" si="65"/>
        <v>0</v>
      </c>
      <c r="AN79" s="17">
        <f t="shared" si="66"/>
        <v>0</v>
      </c>
      <c r="AO79" s="17">
        <f t="shared" si="67"/>
        <v>0</v>
      </c>
      <c r="AP79" s="17">
        <f t="shared" si="68"/>
        <v>0</v>
      </c>
      <c r="AQ79" s="17">
        <f t="shared" si="69"/>
        <v>0</v>
      </c>
      <c r="AR79" s="17">
        <f t="shared" si="70"/>
        <v>0</v>
      </c>
      <c r="AS79" s="17">
        <f t="shared" si="71"/>
        <v>0</v>
      </c>
      <c r="AT79" s="34">
        <f t="shared" si="72"/>
        <v>0</v>
      </c>
      <c r="AU79" s="31"/>
      <c r="AV79">
        <f t="shared" si="87"/>
        <v>1756</v>
      </c>
      <c r="AW79" t="s">
        <v>5</v>
      </c>
      <c r="AX79" s="8" t="str">
        <f t="shared" si="73"/>
        <v>0,0,0,0,0,0,0,0,0,0</v>
      </c>
      <c r="AY79" s="31"/>
      <c r="AZ79" s="9" t="str">
        <f t="shared" si="74"/>
        <v>1756 DATA 0,0,0,0,0,0,0,0,0,0</v>
      </c>
      <c r="BA79" s="31"/>
      <c r="BB79" s="33">
        <f t="shared" si="75"/>
        <v>8</v>
      </c>
      <c r="BC79" s="26">
        <f t="shared" si="76"/>
        <v>0</v>
      </c>
      <c r="BD79" s="26">
        <f t="shared" si="77"/>
        <v>0</v>
      </c>
      <c r="BE79" s="26">
        <f t="shared" si="78"/>
        <v>0</v>
      </c>
      <c r="BF79" s="26">
        <f t="shared" si="79"/>
        <v>0</v>
      </c>
      <c r="BG79" s="26">
        <f t="shared" si="80"/>
        <v>0</v>
      </c>
      <c r="BH79" s="26">
        <f t="shared" si="81"/>
        <v>0</v>
      </c>
      <c r="BI79" s="26">
        <f t="shared" si="82"/>
        <v>0</v>
      </c>
      <c r="BJ79" s="26">
        <f t="shared" si="83"/>
        <v>0</v>
      </c>
      <c r="BK79" s="34">
        <f t="shared" si="84"/>
        <v>8</v>
      </c>
      <c r="BL79" s="31"/>
      <c r="BM79">
        <f t="shared" si="88"/>
        <v>1757</v>
      </c>
      <c r="BN79" t="s">
        <v>5</v>
      </c>
      <c r="BO79" s="8" t="str">
        <f t="shared" si="85"/>
        <v>8,0,0,0,0,0,0,0,0,8</v>
      </c>
      <c r="BP79"/>
      <c r="BQ79" s="9" t="str">
        <f t="shared" si="86"/>
        <v>1757 DATA 8,0,0,0,0,0,0,0,0,8</v>
      </c>
    </row>
    <row r="80" spans="19:69">
      <c r="S80" s="4">
        <f t="shared" si="46"/>
        <v>0</v>
      </c>
      <c r="T80" s="7">
        <f t="shared" si="47"/>
        <v>0</v>
      </c>
      <c r="U80" s="7">
        <f t="shared" si="48"/>
        <v>0</v>
      </c>
      <c r="V80" s="7">
        <f t="shared" si="49"/>
        <v>0</v>
      </c>
      <c r="W80" s="7">
        <f t="shared" si="50"/>
        <v>0</v>
      </c>
      <c r="X80" s="7">
        <f t="shared" si="51"/>
        <v>0</v>
      </c>
      <c r="Y80" s="7">
        <f t="shared" si="52"/>
        <v>0</v>
      </c>
      <c r="Z80" s="7">
        <f t="shared" si="53"/>
        <v>0</v>
      </c>
      <c r="AA80" s="7">
        <f t="shared" si="54"/>
        <v>0</v>
      </c>
      <c r="AB80" s="6">
        <f t="shared" si="55"/>
        <v>0</v>
      </c>
      <c r="AC80" s="6">
        <f t="shared" si="56"/>
        <v>0</v>
      </c>
      <c r="AD80" s="6">
        <f t="shared" si="57"/>
        <v>0</v>
      </c>
      <c r="AE80" s="6">
        <f t="shared" si="58"/>
        <v>0</v>
      </c>
      <c r="AF80" s="6">
        <f t="shared" si="59"/>
        <v>0</v>
      </c>
      <c r="AG80" s="6">
        <f t="shared" si="60"/>
        <v>0</v>
      </c>
      <c r="AH80" s="6">
        <f t="shared" si="61"/>
        <v>0</v>
      </c>
      <c r="AI80" s="6">
        <f t="shared" si="62"/>
        <v>0</v>
      </c>
      <c r="AK80" s="33">
        <f t="shared" si="63"/>
        <v>0</v>
      </c>
      <c r="AL80" s="17">
        <f t="shared" si="64"/>
        <v>0</v>
      </c>
      <c r="AM80" s="17">
        <f t="shared" si="65"/>
        <v>0</v>
      </c>
      <c r="AN80" s="17">
        <f t="shared" si="66"/>
        <v>0</v>
      </c>
      <c r="AO80" s="17">
        <f t="shared" si="67"/>
        <v>0</v>
      </c>
      <c r="AP80" s="17">
        <f t="shared" si="68"/>
        <v>0</v>
      </c>
      <c r="AQ80" s="17">
        <f t="shared" si="69"/>
        <v>0</v>
      </c>
      <c r="AR80" s="17">
        <f t="shared" si="70"/>
        <v>0</v>
      </c>
      <c r="AS80" s="17">
        <f t="shared" si="71"/>
        <v>0</v>
      </c>
      <c r="AT80" s="34">
        <f t="shared" si="72"/>
        <v>0</v>
      </c>
      <c r="AU80" s="31"/>
      <c r="AV80">
        <f t="shared" si="87"/>
        <v>1758</v>
      </c>
      <c r="AW80" t="s">
        <v>5</v>
      </c>
      <c r="AX80" s="8" t="str">
        <f t="shared" si="73"/>
        <v>0,0,0,0,0,0,0,0,0,0</v>
      </c>
      <c r="AY80" s="31"/>
      <c r="AZ80" s="9" t="str">
        <f t="shared" si="74"/>
        <v>1758 DATA 0,0,0,0,0,0,0,0,0,0</v>
      </c>
      <c r="BA80" s="31"/>
      <c r="BB80" s="33">
        <f t="shared" si="75"/>
        <v>8</v>
      </c>
      <c r="BC80" s="26">
        <f t="shared" si="76"/>
        <v>0</v>
      </c>
      <c r="BD80" s="26">
        <f t="shared" si="77"/>
        <v>0</v>
      </c>
      <c r="BE80" s="26">
        <f t="shared" si="78"/>
        <v>0</v>
      </c>
      <c r="BF80" s="26">
        <f t="shared" si="79"/>
        <v>0</v>
      </c>
      <c r="BG80" s="26">
        <f t="shared" si="80"/>
        <v>0</v>
      </c>
      <c r="BH80" s="26">
        <f t="shared" si="81"/>
        <v>0</v>
      </c>
      <c r="BI80" s="26">
        <f t="shared" si="82"/>
        <v>0</v>
      </c>
      <c r="BJ80" s="26">
        <f t="shared" si="83"/>
        <v>0</v>
      </c>
      <c r="BK80" s="34">
        <f t="shared" si="84"/>
        <v>8</v>
      </c>
      <c r="BL80" s="31"/>
      <c r="BM80">
        <f t="shared" si="88"/>
        <v>1759</v>
      </c>
      <c r="BN80" t="s">
        <v>5</v>
      </c>
      <c r="BO80" s="8" t="str">
        <f t="shared" si="85"/>
        <v>8,0,0,0,0,0,0,0,0,8</v>
      </c>
      <c r="BP80"/>
      <c r="BQ80" s="9" t="str">
        <f t="shared" si="86"/>
        <v>1759 DATA 8,0,0,0,0,0,0,0,0,8</v>
      </c>
    </row>
    <row r="81" spans="19:69">
      <c r="S81" s="4">
        <f t="shared" si="46"/>
        <v>0</v>
      </c>
      <c r="T81" s="7">
        <f t="shared" si="47"/>
        <v>0</v>
      </c>
      <c r="U81" s="7">
        <f t="shared" si="48"/>
        <v>0</v>
      </c>
      <c r="V81" s="7">
        <f t="shared" si="49"/>
        <v>0</v>
      </c>
      <c r="W81" s="7">
        <f t="shared" si="50"/>
        <v>0</v>
      </c>
      <c r="X81" s="7">
        <f t="shared" si="51"/>
        <v>0</v>
      </c>
      <c r="Y81" s="7">
        <f t="shared" si="52"/>
        <v>0</v>
      </c>
      <c r="Z81" s="7">
        <f t="shared" si="53"/>
        <v>0</v>
      </c>
      <c r="AA81" s="7">
        <f t="shared" si="54"/>
        <v>0</v>
      </c>
      <c r="AB81" s="6">
        <f t="shared" si="55"/>
        <v>0</v>
      </c>
      <c r="AC81" s="6">
        <f t="shared" si="56"/>
        <v>0</v>
      </c>
      <c r="AD81" s="6">
        <f t="shared" si="57"/>
        <v>0</v>
      </c>
      <c r="AE81" s="6">
        <f t="shared" si="58"/>
        <v>0</v>
      </c>
      <c r="AF81" s="6">
        <f t="shared" si="59"/>
        <v>0</v>
      </c>
      <c r="AG81" s="6">
        <f t="shared" si="60"/>
        <v>0</v>
      </c>
      <c r="AH81" s="6">
        <f t="shared" si="61"/>
        <v>0</v>
      </c>
      <c r="AI81" s="6">
        <f t="shared" si="62"/>
        <v>0</v>
      </c>
      <c r="AK81" s="33">
        <f t="shared" si="63"/>
        <v>0</v>
      </c>
      <c r="AL81" s="17">
        <f t="shared" si="64"/>
        <v>0</v>
      </c>
      <c r="AM81" s="17">
        <f t="shared" si="65"/>
        <v>0</v>
      </c>
      <c r="AN81" s="17">
        <f t="shared" si="66"/>
        <v>0</v>
      </c>
      <c r="AO81" s="17">
        <f t="shared" si="67"/>
        <v>0</v>
      </c>
      <c r="AP81" s="17">
        <f t="shared" si="68"/>
        <v>0</v>
      </c>
      <c r="AQ81" s="17">
        <f t="shared" si="69"/>
        <v>0</v>
      </c>
      <c r="AR81" s="17">
        <f t="shared" si="70"/>
        <v>0</v>
      </c>
      <c r="AS81" s="17">
        <f t="shared" si="71"/>
        <v>0</v>
      </c>
      <c r="AT81" s="34">
        <f t="shared" si="72"/>
        <v>0</v>
      </c>
      <c r="AU81" s="31"/>
      <c r="AV81">
        <f t="shared" si="87"/>
        <v>1760</v>
      </c>
      <c r="AW81" t="s">
        <v>5</v>
      </c>
      <c r="AX81" s="8" t="str">
        <f t="shared" si="73"/>
        <v>0,0,0,0,0,0,0,0,0,0</v>
      </c>
      <c r="AY81" s="31"/>
      <c r="AZ81" s="9" t="str">
        <f t="shared" si="74"/>
        <v>1760 DATA 0,0,0,0,0,0,0,0,0,0</v>
      </c>
      <c r="BA81" s="31"/>
      <c r="BB81" s="33">
        <f t="shared" si="75"/>
        <v>8</v>
      </c>
      <c r="BC81" s="26">
        <f t="shared" si="76"/>
        <v>0</v>
      </c>
      <c r="BD81" s="26">
        <f t="shared" si="77"/>
        <v>0</v>
      </c>
      <c r="BE81" s="26">
        <f t="shared" si="78"/>
        <v>0</v>
      </c>
      <c r="BF81" s="26">
        <f t="shared" si="79"/>
        <v>0</v>
      </c>
      <c r="BG81" s="26">
        <f t="shared" si="80"/>
        <v>0</v>
      </c>
      <c r="BH81" s="26">
        <f t="shared" si="81"/>
        <v>0</v>
      </c>
      <c r="BI81" s="26">
        <f t="shared" si="82"/>
        <v>0</v>
      </c>
      <c r="BJ81" s="26">
        <f t="shared" si="83"/>
        <v>0</v>
      </c>
      <c r="BK81" s="34">
        <f t="shared" si="84"/>
        <v>8</v>
      </c>
      <c r="BL81" s="31"/>
      <c r="BM81">
        <f t="shared" si="88"/>
        <v>1761</v>
      </c>
      <c r="BN81" t="s">
        <v>5</v>
      </c>
      <c r="BO81" s="8" t="str">
        <f t="shared" si="85"/>
        <v>8,0,0,0,0,0,0,0,0,8</v>
      </c>
      <c r="BP81"/>
      <c r="BQ81" s="9" t="str">
        <f t="shared" si="86"/>
        <v>1761 DATA 8,0,0,0,0,0,0,0,0,8</v>
      </c>
    </row>
    <row r="82" spans="19:69">
      <c r="S82" s="4">
        <f t="shared" si="46"/>
        <v>0</v>
      </c>
      <c r="T82" s="7">
        <f t="shared" si="47"/>
        <v>0</v>
      </c>
      <c r="U82" s="7">
        <f t="shared" si="48"/>
        <v>0</v>
      </c>
      <c r="V82" s="7">
        <f t="shared" si="49"/>
        <v>0</v>
      </c>
      <c r="W82" s="7">
        <f t="shared" si="50"/>
        <v>0</v>
      </c>
      <c r="X82" s="7">
        <f t="shared" si="51"/>
        <v>0</v>
      </c>
      <c r="Y82" s="7">
        <f t="shared" si="52"/>
        <v>0</v>
      </c>
      <c r="Z82" s="7">
        <f t="shared" si="53"/>
        <v>0</v>
      </c>
      <c r="AA82" s="7">
        <f t="shared" si="54"/>
        <v>0</v>
      </c>
      <c r="AB82" s="6">
        <f t="shared" si="55"/>
        <v>0</v>
      </c>
      <c r="AC82" s="6">
        <f t="shared" si="56"/>
        <v>0</v>
      </c>
      <c r="AD82" s="6">
        <f t="shared" si="57"/>
        <v>0</v>
      </c>
      <c r="AE82" s="6">
        <f t="shared" si="58"/>
        <v>0</v>
      </c>
      <c r="AF82" s="6">
        <f t="shared" si="59"/>
        <v>0</v>
      </c>
      <c r="AG82" s="6">
        <f t="shared" si="60"/>
        <v>0</v>
      </c>
      <c r="AH82" s="6">
        <f t="shared" si="61"/>
        <v>0</v>
      </c>
      <c r="AI82" s="6">
        <f t="shared" si="62"/>
        <v>0</v>
      </c>
      <c r="AK82" s="33">
        <f t="shared" si="63"/>
        <v>0</v>
      </c>
      <c r="AL82" s="17">
        <f t="shared" si="64"/>
        <v>0</v>
      </c>
      <c r="AM82" s="17">
        <f t="shared" si="65"/>
        <v>0</v>
      </c>
      <c r="AN82" s="17">
        <f t="shared" si="66"/>
        <v>0</v>
      </c>
      <c r="AO82" s="17">
        <f t="shared" si="67"/>
        <v>0</v>
      </c>
      <c r="AP82" s="17">
        <f t="shared" si="68"/>
        <v>0</v>
      </c>
      <c r="AQ82" s="17">
        <f t="shared" si="69"/>
        <v>0</v>
      </c>
      <c r="AR82" s="17">
        <f t="shared" si="70"/>
        <v>0</v>
      </c>
      <c r="AS82" s="17">
        <f t="shared" si="71"/>
        <v>0</v>
      </c>
      <c r="AT82" s="34">
        <f t="shared" si="72"/>
        <v>0</v>
      </c>
      <c r="AU82" s="31"/>
      <c r="AV82">
        <f t="shared" si="87"/>
        <v>1762</v>
      </c>
      <c r="AW82" t="s">
        <v>5</v>
      </c>
      <c r="AX82" s="8" t="str">
        <f t="shared" si="73"/>
        <v>0,0,0,0,0,0,0,0,0,0</v>
      </c>
      <c r="AY82" s="31"/>
      <c r="AZ82" s="9" t="str">
        <f t="shared" si="74"/>
        <v>1762 DATA 0,0,0,0,0,0,0,0,0,0</v>
      </c>
      <c r="BA82" s="31"/>
      <c r="BB82" s="33">
        <f t="shared" si="75"/>
        <v>8</v>
      </c>
      <c r="BC82" s="26">
        <f t="shared" si="76"/>
        <v>0</v>
      </c>
      <c r="BD82" s="26">
        <f t="shared" si="77"/>
        <v>0</v>
      </c>
      <c r="BE82" s="26">
        <f t="shared" si="78"/>
        <v>0</v>
      </c>
      <c r="BF82" s="26">
        <f t="shared" si="79"/>
        <v>0</v>
      </c>
      <c r="BG82" s="26">
        <f t="shared" si="80"/>
        <v>0</v>
      </c>
      <c r="BH82" s="26">
        <f t="shared" si="81"/>
        <v>0</v>
      </c>
      <c r="BI82" s="26">
        <f t="shared" si="82"/>
        <v>0</v>
      </c>
      <c r="BJ82" s="26">
        <f t="shared" si="83"/>
        <v>0</v>
      </c>
      <c r="BK82" s="34">
        <f t="shared" si="84"/>
        <v>8</v>
      </c>
      <c r="BL82" s="31"/>
      <c r="BM82">
        <f t="shared" si="88"/>
        <v>1763</v>
      </c>
      <c r="BN82" t="s">
        <v>5</v>
      </c>
      <c r="BO82" s="8" t="str">
        <f t="shared" si="85"/>
        <v>8,0,0,0,0,0,0,0,0,8</v>
      </c>
      <c r="BP82"/>
      <c r="BQ82" s="9" t="str">
        <f t="shared" si="86"/>
        <v>1763 DATA 8,0,0,0,0,0,0,0,0,8</v>
      </c>
    </row>
    <row r="83" spans="19:69">
      <c r="S83" s="4">
        <f t="shared" si="46"/>
        <v>0</v>
      </c>
      <c r="T83" s="7">
        <f t="shared" si="47"/>
        <v>0</v>
      </c>
      <c r="U83" s="7">
        <f t="shared" si="48"/>
        <v>0</v>
      </c>
      <c r="V83" s="7">
        <f t="shared" si="49"/>
        <v>0</v>
      </c>
      <c r="W83" s="7">
        <f t="shared" si="50"/>
        <v>0</v>
      </c>
      <c r="X83" s="7">
        <f t="shared" si="51"/>
        <v>0</v>
      </c>
      <c r="Y83" s="7">
        <f t="shared" si="52"/>
        <v>0</v>
      </c>
      <c r="Z83" s="7">
        <f t="shared" si="53"/>
        <v>0</v>
      </c>
      <c r="AA83" s="7">
        <f t="shared" si="54"/>
        <v>0</v>
      </c>
      <c r="AB83" s="6">
        <f t="shared" si="55"/>
        <v>0</v>
      </c>
      <c r="AC83" s="6">
        <f t="shared" si="56"/>
        <v>0</v>
      </c>
      <c r="AD83" s="6">
        <f t="shared" si="57"/>
        <v>0</v>
      </c>
      <c r="AE83" s="6">
        <f t="shared" si="58"/>
        <v>0</v>
      </c>
      <c r="AF83" s="6">
        <f t="shared" si="59"/>
        <v>0</v>
      </c>
      <c r="AG83" s="6">
        <f t="shared" si="60"/>
        <v>0</v>
      </c>
      <c r="AH83" s="6">
        <f t="shared" si="61"/>
        <v>0</v>
      </c>
      <c r="AI83" s="6">
        <f t="shared" si="62"/>
        <v>0</v>
      </c>
      <c r="AK83" s="33">
        <f t="shared" si="63"/>
        <v>0</v>
      </c>
      <c r="AL83" s="17">
        <f t="shared" si="64"/>
        <v>0</v>
      </c>
      <c r="AM83" s="17">
        <f t="shared" si="65"/>
        <v>0</v>
      </c>
      <c r="AN83" s="17">
        <f t="shared" si="66"/>
        <v>0</v>
      </c>
      <c r="AO83" s="17">
        <f t="shared" si="67"/>
        <v>0</v>
      </c>
      <c r="AP83" s="17">
        <f t="shared" si="68"/>
        <v>0</v>
      </c>
      <c r="AQ83" s="17">
        <f t="shared" si="69"/>
        <v>0</v>
      </c>
      <c r="AR83" s="17">
        <f t="shared" si="70"/>
        <v>0</v>
      </c>
      <c r="AS83" s="17">
        <f t="shared" si="71"/>
        <v>0</v>
      </c>
      <c r="AT83" s="34">
        <f t="shared" si="72"/>
        <v>0</v>
      </c>
      <c r="AU83" s="31"/>
      <c r="AV83">
        <f t="shared" si="87"/>
        <v>1764</v>
      </c>
      <c r="AW83" t="s">
        <v>5</v>
      </c>
      <c r="AX83" s="8" t="str">
        <f t="shared" si="73"/>
        <v>0,0,0,0,0,0,0,0,0,0</v>
      </c>
      <c r="AY83" s="31"/>
      <c r="AZ83" s="9" t="str">
        <f t="shared" si="74"/>
        <v>1764 DATA 0,0,0,0,0,0,0,0,0,0</v>
      </c>
      <c r="BA83" s="31"/>
      <c r="BB83" s="33">
        <f t="shared" si="75"/>
        <v>8</v>
      </c>
      <c r="BC83" s="26">
        <f t="shared" si="76"/>
        <v>0</v>
      </c>
      <c r="BD83" s="26">
        <f t="shared" si="77"/>
        <v>0</v>
      </c>
      <c r="BE83" s="26">
        <f t="shared" si="78"/>
        <v>0</v>
      </c>
      <c r="BF83" s="26">
        <f t="shared" si="79"/>
        <v>0</v>
      </c>
      <c r="BG83" s="26">
        <f t="shared" si="80"/>
        <v>0</v>
      </c>
      <c r="BH83" s="26">
        <f t="shared" si="81"/>
        <v>0</v>
      </c>
      <c r="BI83" s="26">
        <f t="shared" si="82"/>
        <v>0</v>
      </c>
      <c r="BJ83" s="26">
        <f t="shared" si="83"/>
        <v>0</v>
      </c>
      <c r="BK83" s="34">
        <f t="shared" si="84"/>
        <v>8</v>
      </c>
      <c r="BL83" s="31"/>
      <c r="BM83">
        <f t="shared" si="88"/>
        <v>1765</v>
      </c>
      <c r="BN83" t="s">
        <v>5</v>
      </c>
      <c r="BO83" s="8" t="str">
        <f t="shared" si="85"/>
        <v>8,0,0,0,0,0,0,0,0,8</v>
      </c>
      <c r="BP83"/>
      <c r="BQ83" s="9" t="str">
        <f t="shared" si="86"/>
        <v>1765 DATA 8,0,0,0,0,0,0,0,0,8</v>
      </c>
    </row>
    <row r="84" spans="19:69">
      <c r="S84" s="4">
        <f t="shared" si="46"/>
        <v>0</v>
      </c>
      <c r="T84" s="7">
        <f t="shared" si="47"/>
        <v>0</v>
      </c>
      <c r="U84" s="7">
        <f t="shared" si="48"/>
        <v>0</v>
      </c>
      <c r="V84" s="7">
        <f t="shared" si="49"/>
        <v>0</v>
      </c>
      <c r="W84" s="7">
        <f t="shared" si="50"/>
        <v>0</v>
      </c>
      <c r="X84" s="7">
        <f t="shared" si="51"/>
        <v>0</v>
      </c>
      <c r="Y84" s="7">
        <f t="shared" si="52"/>
        <v>0</v>
      </c>
      <c r="Z84" s="7">
        <f t="shared" si="53"/>
        <v>0</v>
      </c>
      <c r="AA84" s="7">
        <f t="shared" si="54"/>
        <v>0</v>
      </c>
      <c r="AB84" s="6">
        <f t="shared" si="55"/>
        <v>0</v>
      </c>
      <c r="AC84" s="6">
        <f t="shared" si="56"/>
        <v>0</v>
      </c>
      <c r="AD84" s="6">
        <f t="shared" si="57"/>
        <v>0</v>
      </c>
      <c r="AE84" s="6">
        <f t="shared" si="58"/>
        <v>0</v>
      </c>
      <c r="AF84" s="6">
        <f t="shared" si="59"/>
        <v>0</v>
      </c>
      <c r="AG84" s="6">
        <f t="shared" si="60"/>
        <v>0</v>
      </c>
      <c r="AH84" s="6">
        <f t="shared" si="61"/>
        <v>0</v>
      </c>
      <c r="AI84" s="6">
        <f t="shared" si="62"/>
        <v>0</v>
      </c>
      <c r="AK84" s="33">
        <f t="shared" si="63"/>
        <v>0</v>
      </c>
      <c r="AL84" s="17">
        <f t="shared" si="64"/>
        <v>0</v>
      </c>
      <c r="AM84" s="17">
        <f t="shared" si="65"/>
        <v>0</v>
      </c>
      <c r="AN84" s="17">
        <f t="shared" si="66"/>
        <v>0</v>
      </c>
      <c r="AO84" s="17">
        <f t="shared" si="67"/>
        <v>0</v>
      </c>
      <c r="AP84" s="17">
        <f t="shared" si="68"/>
        <v>0</v>
      </c>
      <c r="AQ84" s="17">
        <f t="shared" si="69"/>
        <v>0</v>
      </c>
      <c r="AR84" s="17">
        <f t="shared" si="70"/>
        <v>0</v>
      </c>
      <c r="AS84" s="17">
        <f t="shared" si="71"/>
        <v>0</v>
      </c>
      <c r="AT84" s="34">
        <f t="shared" si="72"/>
        <v>0</v>
      </c>
      <c r="AU84" s="31"/>
      <c r="AV84">
        <f t="shared" si="87"/>
        <v>1766</v>
      </c>
      <c r="AW84" t="s">
        <v>5</v>
      </c>
      <c r="AX84" s="8" t="str">
        <f t="shared" si="73"/>
        <v>0,0,0,0,0,0,0,0,0,0</v>
      </c>
      <c r="AY84" s="31"/>
      <c r="AZ84" s="9" t="str">
        <f t="shared" si="74"/>
        <v>1766 DATA 0,0,0,0,0,0,0,0,0,0</v>
      </c>
      <c r="BA84" s="31"/>
      <c r="BB84" s="33">
        <f t="shared" si="75"/>
        <v>8</v>
      </c>
      <c r="BC84" s="26">
        <f t="shared" si="76"/>
        <v>0</v>
      </c>
      <c r="BD84" s="26">
        <f t="shared" si="77"/>
        <v>0</v>
      </c>
      <c r="BE84" s="26">
        <f t="shared" si="78"/>
        <v>0</v>
      </c>
      <c r="BF84" s="26">
        <f t="shared" si="79"/>
        <v>0</v>
      </c>
      <c r="BG84" s="26">
        <f t="shared" si="80"/>
        <v>0</v>
      </c>
      <c r="BH84" s="26">
        <f t="shared" si="81"/>
        <v>0</v>
      </c>
      <c r="BI84" s="26">
        <f t="shared" si="82"/>
        <v>0</v>
      </c>
      <c r="BJ84" s="26">
        <f t="shared" si="83"/>
        <v>0</v>
      </c>
      <c r="BK84" s="34">
        <f t="shared" si="84"/>
        <v>8</v>
      </c>
      <c r="BL84" s="31"/>
      <c r="BM84">
        <f t="shared" si="88"/>
        <v>1767</v>
      </c>
      <c r="BN84" t="s">
        <v>5</v>
      </c>
      <c r="BO84" s="8" t="str">
        <f t="shared" si="85"/>
        <v>8,0,0,0,0,0,0,0,0,8</v>
      </c>
      <c r="BP84"/>
      <c r="BQ84" s="9" t="str">
        <f t="shared" si="86"/>
        <v>1767 DATA 8,0,0,0,0,0,0,0,0,8</v>
      </c>
    </row>
    <row r="85" spans="19:69">
      <c r="S85" s="4">
        <f t="shared" si="46"/>
        <v>0</v>
      </c>
      <c r="T85" s="7">
        <f t="shared" si="47"/>
        <v>0</v>
      </c>
      <c r="U85" s="7">
        <f t="shared" si="48"/>
        <v>0</v>
      </c>
      <c r="V85" s="7">
        <f t="shared" si="49"/>
        <v>0</v>
      </c>
      <c r="W85" s="7">
        <f t="shared" si="50"/>
        <v>0</v>
      </c>
      <c r="X85" s="7">
        <f t="shared" si="51"/>
        <v>0</v>
      </c>
      <c r="Y85" s="7">
        <f t="shared" si="52"/>
        <v>0</v>
      </c>
      <c r="Z85" s="7">
        <f t="shared" si="53"/>
        <v>0</v>
      </c>
      <c r="AA85" s="7">
        <f t="shared" si="54"/>
        <v>0</v>
      </c>
      <c r="AB85" s="6">
        <f t="shared" si="55"/>
        <v>0</v>
      </c>
      <c r="AC85" s="6">
        <f t="shared" si="56"/>
        <v>0</v>
      </c>
      <c r="AD85" s="6">
        <f t="shared" si="57"/>
        <v>0</v>
      </c>
      <c r="AE85" s="6">
        <f t="shared" si="58"/>
        <v>0</v>
      </c>
      <c r="AF85" s="6">
        <f t="shared" si="59"/>
        <v>0</v>
      </c>
      <c r="AG85" s="6">
        <f t="shared" si="60"/>
        <v>0</v>
      </c>
      <c r="AH85" s="6">
        <f t="shared" si="61"/>
        <v>0</v>
      </c>
      <c r="AI85" s="6">
        <f t="shared" si="62"/>
        <v>0</v>
      </c>
      <c r="AK85" s="33">
        <f t="shared" si="63"/>
        <v>0</v>
      </c>
      <c r="AL85" s="17">
        <f t="shared" si="64"/>
        <v>0</v>
      </c>
      <c r="AM85" s="17">
        <f t="shared" si="65"/>
        <v>0</v>
      </c>
      <c r="AN85" s="17">
        <f t="shared" si="66"/>
        <v>0</v>
      </c>
      <c r="AO85" s="17">
        <f t="shared" si="67"/>
        <v>0</v>
      </c>
      <c r="AP85" s="17">
        <f t="shared" si="68"/>
        <v>0</v>
      </c>
      <c r="AQ85" s="17">
        <f t="shared" si="69"/>
        <v>0</v>
      </c>
      <c r="AR85" s="17">
        <f t="shared" si="70"/>
        <v>0</v>
      </c>
      <c r="AS85" s="17">
        <f t="shared" si="71"/>
        <v>0</v>
      </c>
      <c r="AT85" s="34">
        <f t="shared" si="72"/>
        <v>0</v>
      </c>
      <c r="AU85" s="31"/>
      <c r="AV85">
        <f t="shared" si="87"/>
        <v>1768</v>
      </c>
      <c r="AW85" t="s">
        <v>5</v>
      </c>
      <c r="AX85" s="8" t="str">
        <f t="shared" si="73"/>
        <v>0,0,0,0,0,0,0,0,0,0</v>
      </c>
      <c r="AY85" s="31"/>
      <c r="AZ85" s="9" t="str">
        <f t="shared" si="74"/>
        <v>1768 DATA 0,0,0,0,0,0,0,0,0,0</v>
      </c>
      <c r="BA85" s="31"/>
      <c r="BB85" s="33">
        <f t="shared" si="75"/>
        <v>8</v>
      </c>
      <c r="BC85" s="26">
        <f t="shared" si="76"/>
        <v>0</v>
      </c>
      <c r="BD85" s="26">
        <f t="shared" si="77"/>
        <v>0</v>
      </c>
      <c r="BE85" s="26">
        <f t="shared" si="78"/>
        <v>0</v>
      </c>
      <c r="BF85" s="26">
        <f t="shared" si="79"/>
        <v>0</v>
      </c>
      <c r="BG85" s="26">
        <f t="shared" si="80"/>
        <v>0</v>
      </c>
      <c r="BH85" s="26">
        <f t="shared" si="81"/>
        <v>0</v>
      </c>
      <c r="BI85" s="26">
        <f t="shared" si="82"/>
        <v>0</v>
      </c>
      <c r="BJ85" s="26">
        <f t="shared" si="83"/>
        <v>0</v>
      </c>
      <c r="BK85" s="34">
        <f t="shared" si="84"/>
        <v>8</v>
      </c>
      <c r="BL85" s="31"/>
      <c r="BM85">
        <f t="shared" si="88"/>
        <v>1769</v>
      </c>
      <c r="BN85" t="s">
        <v>5</v>
      </c>
      <c r="BO85" s="8" t="str">
        <f t="shared" si="85"/>
        <v>8,0,0,0,0,0,0,0,0,8</v>
      </c>
      <c r="BP85"/>
      <c r="BQ85" s="9" t="str">
        <f t="shared" si="86"/>
        <v>1769 DATA 8,0,0,0,0,0,0,0,0,8</v>
      </c>
    </row>
    <row r="86" spans="19:69">
      <c r="S86" s="4">
        <f t="shared" si="46"/>
        <v>0</v>
      </c>
      <c r="T86" s="7">
        <f t="shared" si="47"/>
        <v>0</v>
      </c>
      <c r="U86" s="7">
        <f t="shared" si="48"/>
        <v>0</v>
      </c>
      <c r="V86" s="7">
        <f t="shared" si="49"/>
        <v>0</v>
      </c>
      <c r="W86" s="7">
        <f t="shared" si="50"/>
        <v>0</v>
      </c>
      <c r="X86" s="7">
        <f t="shared" si="51"/>
        <v>0</v>
      </c>
      <c r="Y86" s="7">
        <f t="shared" si="52"/>
        <v>0</v>
      </c>
      <c r="Z86" s="7">
        <f t="shared" si="53"/>
        <v>0</v>
      </c>
      <c r="AA86" s="7">
        <f t="shared" si="54"/>
        <v>0</v>
      </c>
      <c r="AB86" s="6">
        <f t="shared" si="55"/>
        <v>0</v>
      </c>
      <c r="AC86" s="6">
        <f t="shared" si="56"/>
        <v>0</v>
      </c>
      <c r="AD86" s="6">
        <f t="shared" si="57"/>
        <v>0</v>
      </c>
      <c r="AE86" s="6">
        <f t="shared" si="58"/>
        <v>0</v>
      </c>
      <c r="AF86" s="6">
        <f t="shared" si="59"/>
        <v>0</v>
      </c>
      <c r="AG86" s="6">
        <f t="shared" si="60"/>
        <v>0</v>
      </c>
      <c r="AH86" s="6">
        <f t="shared" si="61"/>
        <v>0</v>
      </c>
      <c r="AI86" s="6">
        <f t="shared" si="62"/>
        <v>0</v>
      </c>
      <c r="AK86" s="33">
        <f t="shared" si="63"/>
        <v>0</v>
      </c>
      <c r="AL86" s="17">
        <f t="shared" si="64"/>
        <v>0</v>
      </c>
      <c r="AM86" s="17">
        <f t="shared" si="65"/>
        <v>0</v>
      </c>
      <c r="AN86" s="17">
        <f t="shared" si="66"/>
        <v>0</v>
      </c>
      <c r="AO86" s="17">
        <f t="shared" si="67"/>
        <v>0</v>
      </c>
      <c r="AP86" s="17">
        <f t="shared" si="68"/>
        <v>0</v>
      </c>
      <c r="AQ86" s="17">
        <f t="shared" si="69"/>
        <v>0</v>
      </c>
      <c r="AR86" s="17">
        <f t="shared" si="70"/>
        <v>0</v>
      </c>
      <c r="AS86" s="17">
        <f t="shared" si="71"/>
        <v>0</v>
      </c>
      <c r="AT86" s="34">
        <f t="shared" si="72"/>
        <v>0</v>
      </c>
      <c r="AU86" s="31"/>
      <c r="AV86">
        <f t="shared" si="87"/>
        <v>1770</v>
      </c>
      <c r="AW86" t="s">
        <v>5</v>
      </c>
      <c r="AX86" s="8" t="str">
        <f t="shared" si="73"/>
        <v>0,0,0,0,0,0,0,0,0,0</v>
      </c>
      <c r="AY86" s="31"/>
      <c r="AZ86" s="9" t="str">
        <f t="shared" si="74"/>
        <v>1770 DATA 0,0,0,0,0,0,0,0,0,0</v>
      </c>
      <c r="BA86" s="31"/>
      <c r="BB86" s="33">
        <f t="shared" si="75"/>
        <v>8</v>
      </c>
      <c r="BC86" s="26">
        <f t="shared" si="76"/>
        <v>0</v>
      </c>
      <c r="BD86" s="26">
        <f t="shared" si="77"/>
        <v>0</v>
      </c>
      <c r="BE86" s="26">
        <f t="shared" si="78"/>
        <v>0</v>
      </c>
      <c r="BF86" s="26">
        <f t="shared" si="79"/>
        <v>0</v>
      </c>
      <c r="BG86" s="26">
        <f t="shared" si="80"/>
        <v>0</v>
      </c>
      <c r="BH86" s="26">
        <f t="shared" si="81"/>
        <v>0</v>
      </c>
      <c r="BI86" s="26">
        <f t="shared" si="82"/>
        <v>0</v>
      </c>
      <c r="BJ86" s="26">
        <f t="shared" si="83"/>
        <v>0</v>
      </c>
      <c r="BK86" s="34">
        <f t="shared" si="84"/>
        <v>8</v>
      </c>
      <c r="BL86" s="31"/>
      <c r="BM86">
        <f t="shared" si="88"/>
        <v>1771</v>
      </c>
      <c r="BN86" t="s">
        <v>5</v>
      </c>
      <c r="BO86" s="8" t="str">
        <f t="shared" si="85"/>
        <v>8,0,0,0,0,0,0,0,0,8</v>
      </c>
      <c r="BP86"/>
      <c r="BQ86" s="9" t="str">
        <f t="shared" si="86"/>
        <v>1771 DATA 8,0,0,0,0,0,0,0,0,8</v>
      </c>
    </row>
    <row r="87" spans="19:69">
      <c r="S87" s="4">
        <f t="shared" si="46"/>
        <v>0</v>
      </c>
      <c r="T87" s="7">
        <f t="shared" si="47"/>
        <v>0</v>
      </c>
      <c r="U87" s="7">
        <f t="shared" si="48"/>
        <v>0</v>
      </c>
      <c r="V87" s="7">
        <f t="shared" si="49"/>
        <v>0</v>
      </c>
      <c r="W87" s="7">
        <f t="shared" si="50"/>
        <v>0</v>
      </c>
      <c r="X87" s="7">
        <f t="shared" si="51"/>
        <v>0</v>
      </c>
      <c r="Y87" s="7">
        <f t="shared" si="52"/>
        <v>0</v>
      </c>
      <c r="Z87" s="7">
        <f t="shared" si="53"/>
        <v>0</v>
      </c>
      <c r="AA87" s="7">
        <f t="shared" si="54"/>
        <v>0</v>
      </c>
      <c r="AB87" s="6">
        <f t="shared" si="55"/>
        <v>0</v>
      </c>
      <c r="AC87" s="6">
        <f t="shared" si="56"/>
        <v>0</v>
      </c>
      <c r="AD87" s="6">
        <f t="shared" si="57"/>
        <v>0</v>
      </c>
      <c r="AE87" s="6">
        <f t="shared" si="58"/>
        <v>0</v>
      </c>
      <c r="AF87" s="6">
        <f t="shared" si="59"/>
        <v>0</v>
      </c>
      <c r="AG87" s="6">
        <f t="shared" si="60"/>
        <v>0</v>
      </c>
      <c r="AH87" s="6">
        <f t="shared" si="61"/>
        <v>0</v>
      </c>
      <c r="AI87" s="6">
        <f t="shared" si="62"/>
        <v>0</v>
      </c>
      <c r="AK87" s="33">
        <f t="shared" si="63"/>
        <v>0</v>
      </c>
      <c r="AL87" s="17">
        <f t="shared" si="64"/>
        <v>0</v>
      </c>
      <c r="AM87" s="17">
        <f t="shared" si="65"/>
        <v>0</v>
      </c>
      <c r="AN87" s="17">
        <f t="shared" si="66"/>
        <v>0</v>
      </c>
      <c r="AO87" s="17">
        <f t="shared" si="67"/>
        <v>0</v>
      </c>
      <c r="AP87" s="17">
        <f t="shared" si="68"/>
        <v>0</v>
      </c>
      <c r="AQ87" s="17">
        <f t="shared" si="69"/>
        <v>0</v>
      </c>
      <c r="AR87" s="17">
        <f t="shared" si="70"/>
        <v>0</v>
      </c>
      <c r="AS87" s="17">
        <f t="shared" si="71"/>
        <v>0</v>
      </c>
      <c r="AT87" s="34">
        <f t="shared" si="72"/>
        <v>0</v>
      </c>
      <c r="AU87" s="31"/>
      <c r="AV87">
        <f t="shared" si="87"/>
        <v>1772</v>
      </c>
      <c r="AW87" t="s">
        <v>5</v>
      </c>
      <c r="AX87" s="8" t="str">
        <f t="shared" si="73"/>
        <v>0,0,0,0,0,0,0,0,0,0</v>
      </c>
      <c r="AY87" s="31"/>
      <c r="AZ87" s="9" t="str">
        <f t="shared" si="74"/>
        <v>1772 DATA 0,0,0,0,0,0,0,0,0,0</v>
      </c>
      <c r="BA87" s="31"/>
      <c r="BB87" s="33">
        <f t="shared" si="75"/>
        <v>8</v>
      </c>
      <c r="BC87" s="26">
        <f t="shared" si="76"/>
        <v>0</v>
      </c>
      <c r="BD87" s="26">
        <f t="shared" si="77"/>
        <v>0</v>
      </c>
      <c r="BE87" s="26">
        <f t="shared" si="78"/>
        <v>0</v>
      </c>
      <c r="BF87" s="26">
        <f t="shared" si="79"/>
        <v>0</v>
      </c>
      <c r="BG87" s="26">
        <f t="shared" si="80"/>
        <v>0</v>
      </c>
      <c r="BH87" s="26">
        <f t="shared" si="81"/>
        <v>0</v>
      </c>
      <c r="BI87" s="26">
        <f t="shared" si="82"/>
        <v>0</v>
      </c>
      <c r="BJ87" s="26">
        <f t="shared" si="83"/>
        <v>0</v>
      </c>
      <c r="BK87" s="34">
        <f t="shared" si="84"/>
        <v>8</v>
      </c>
      <c r="BL87" s="31"/>
      <c r="BM87">
        <f t="shared" si="88"/>
        <v>1773</v>
      </c>
      <c r="BN87" t="s">
        <v>5</v>
      </c>
      <c r="BO87" s="8" t="str">
        <f t="shared" si="85"/>
        <v>8,0,0,0,0,0,0,0,0,8</v>
      </c>
      <c r="BP87"/>
      <c r="BQ87" s="9" t="str">
        <f t="shared" si="86"/>
        <v>1773 DATA 8,0,0,0,0,0,0,0,0,8</v>
      </c>
    </row>
    <row r="88" spans="19:69">
      <c r="S88" s="4">
        <f t="shared" si="46"/>
        <v>0</v>
      </c>
      <c r="T88" s="7">
        <f t="shared" si="47"/>
        <v>0</v>
      </c>
      <c r="U88" s="7">
        <f t="shared" si="48"/>
        <v>0</v>
      </c>
      <c r="V88" s="7">
        <f t="shared" si="49"/>
        <v>0</v>
      </c>
      <c r="W88" s="7">
        <f t="shared" si="50"/>
        <v>0</v>
      </c>
      <c r="X88" s="7">
        <f t="shared" si="51"/>
        <v>0</v>
      </c>
      <c r="Y88" s="7">
        <f t="shared" si="52"/>
        <v>0</v>
      </c>
      <c r="Z88" s="7">
        <f t="shared" si="53"/>
        <v>0</v>
      </c>
      <c r="AA88" s="7">
        <f t="shared" si="54"/>
        <v>0</v>
      </c>
      <c r="AB88" s="6">
        <f t="shared" si="55"/>
        <v>0</v>
      </c>
      <c r="AC88" s="6">
        <f t="shared" si="56"/>
        <v>0</v>
      </c>
      <c r="AD88" s="6">
        <f t="shared" si="57"/>
        <v>0</v>
      </c>
      <c r="AE88" s="6">
        <f t="shared" si="58"/>
        <v>0</v>
      </c>
      <c r="AF88" s="6">
        <f t="shared" si="59"/>
        <v>0</v>
      </c>
      <c r="AG88" s="6">
        <f t="shared" si="60"/>
        <v>0</v>
      </c>
      <c r="AH88" s="6">
        <f t="shared" si="61"/>
        <v>0</v>
      </c>
      <c r="AI88" s="6">
        <f t="shared" si="62"/>
        <v>0</v>
      </c>
      <c r="AK88" s="33">
        <f t="shared" si="63"/>
        <v>0</v>
      </c>
      <c r="AL88" s="17">
        <f t="shared" si="64"/>
        <v>0</v>
      </c>
      <c r="AM88" s="17">
        <f t="shared" si="65"/>
        <v>0</v>
      </c>
      <c r="AN88" s="17">
        <f t="shared" si="66"/>
        <v>0</v>
      </c>
      <c r="AO88" s="17">
        <f t="shared" si="67"/>
        <v>0</v>
      </c>
      <c r="AP88" s="17">
        <f t="shared" si="68"/>
        <v>0</v>
      </c>
      <c r="AQ88" s="17">
        <f t="shared" si="69"/>
        <v>0</v>
      </c>
      <c r="AR88" s="17">
        <f t="shared" si="70"/>
        <v>0</v>
      </c>
      <c r="AS88" s="17">
        <f t="shared" si="71"/>
        <v>0</v>
      </c>
      <c r="AT88" s="34">
        <f t="shared" si="72"/>
        <v>0</v>
      </c>
      <c r="AU88" s="31"/>
      <c r="AV88">
        <f t="shared" si="87"/>
        <v>1774</v>
      </c>
      <c r="AW88" t="s">
        <v>5</v>
      </c>
      <c r="AX88" s="8" t="str">
        <f t="shared" si="73"/>
        <v>0,0,0,0,0,0,0,0,0,0</v>
      </c>
      <c r="AY88" s="31"/>
      <c r="AZ88" s="9" t="str">
        <f t="shared" si="74"/>
        <v>1774 DATA 0,0,0,0,0,0,0,0,0,0</v>
      </c>
      <c r="BA88" s="31"/>
      <c r="BB88" s="33">
        <f t="shared" si="75"/>
        <v>8</v>
      </c>
      <c r="BC88" s="26">
        <f t="shared" si="76"/>
        <v>0</v>
      </c>
      <c r="BD88" s="26">
        <f t="shared" si="77"/>
        <v>0</v>
      </c>
      <c r="BE88" s="26">
        <f t="shared" si="78"/>
        <v>0</v>
      </c>
      <c r="BF88" s="26">
        <f t="shared" si="79"/>
        <v>0</v>
      </c>
      <c r="BG88" s="26">
        <f t="shared" si="80"/>
        <v>0</v>
      </c>
      <c r="BH88" s="26">
        <f t="shared" si="81"/>
        <v>0</v>
      </c>
      <c r="BI88" s="26">
        <f t="shared" si="82"/>
        <v>0</v>
      </c>
      <c r="BJ88" s="26">
        <f t="shared" si="83"/>
        <v>0</v>
      </c>
      <c r="BK88" s="34">
        <f t="shared" si="84"/>
        <v>8</v>
      </c>
      <c r="BL88" s="31"/>
      <c r="BM88">
        <f t="shared" si="88"/>
        <v>1775</v>
      </c>
      <c r="BN88" t="s">
        <v>5</v>
      </c>
      <c r="BO88" s="8" t="str">
        <f t="shared" si="85"/>
        <v>8,0,0,0,0,0,0,0,0,8</v>
      </c>
      <c r="BP88"/>
      <c r="BQ88" s="9" t="str">
        <f t="shared" si="86"/>
        <v>1775 DATA 8,0,0,0,0,0,0,0,0,8</v>
      </c>
    </row>
    <row r="89" spans="19:69">
      <c r="S89" s="4">
        <f t="shared" si="46"/>
        <v>0</v>
      </c>
      <c r="T89" s="7">
        <f t="shared" si="47"/>
        <v>0</v>
      </c>
      <c r="U89" s="7">
        <f t="shared" si="48"/>
        <v>0</v>
      </c>
      <c r="V89" s="7">
        <f t="shared" si="49"/>
        <v>0</v>
      </c>
      <c r="W89" s="7">
        <f t="shared" si="50"/>
        <v>0</v>
      </c>
      <c r="X89" s="7">
        <f t="shared" si="51"/>
        <v>0</v>
      </c>
      <c r="Y89" s="7">
        <f t="shared" si="52"/>
        <v>0</v>
      </c>
      <c r="Z89" s="7">
        <f t="shared" si="53"/>
        <v>0</v>
      </c>
      <c r="AA89" s="7">
        <f t="shared" si="54"/>
        <v>0</v>
      </c>
      <c r="AB89" s="6">
        <f t="shared" si="55"/>
        <v>0</v>
      </c>
      <c r="AC89" s="6">
        <f t="shared" si="56"/>
        <v>0</v>
      </c>
      <c r="AD89" s="6">
        <f t="shared" si="57"/>
        <v>0</v>
      </c>
      <c r="AE89" s="6">
        <f t="shared" si="58"/>
        <v>0</v>
      </c>
      <c r="AF89" s="6">
        <f t="shared" si="59"/>
        <v>0</v>
      </c>
      <c r="AG89" s="6">
        <f t="shared" si="60"/>
        <v>0</v>
      </c>
      <c r="AH89" s="6">
        <f t="shared" si="61"/>
        <v>0</v>
      </c>
      <c r="AI89" s="6">
        <f t="shared" si="62"/>
        <v>0</v>
      </c>
      <c r="AK89" s="33">
        <f t="shared" si="63"/>
        <v>0</v>
      </c>
      <c r="AL89" s="17">
        <f t="shared" si="64"/>
        <v>0</v>
      </c>
      <c r="AM89" s="17">
        <f t="shared" si="65"/>
        <v>0</v>
      </c>
      <c r="AN89" s="17">
        <f t="shared" si="66"/>
        <v>0</v>
      </c>
      <c r="AO89" s="17">
        <f t="shared" si="67"/>
        <v>0</v>
      </c>
      <c r="AP89" s="17">
        <f t="shared" si="68"/>
        <v>0</v>
      </c>
      <c r="AQ89" s="17">
        <f t="shared" si="69"/>
        <v>0</v>
      </c>
      <c r="AR89" s="17">
        <f t="shared" si="70"/>
        <v>0</v>
      </c>
      <c r="AS89" s="17">
        <f t="shared" si="71"/>
        <v>0</v>
      </c>
      <c r="AT89" s="34">
        <f t="shared" si="72"/>
        <v>0</v>
      </c>
      <c r="AU89" s="31"/>
      <c r="AV89">
        <f t="shared" si="87"/>
        <v>1776</v>
      </c>
      <c r="AW89" t="s">
        <v>5</v>
      </c>
      <c r="AX89" s="8" t="str">
        <f t="shared" si="73"/>
        <v>0,0,0,0,0,0,0,0,0,0</v>
      </c>
      <c r="AY89" s="31"/>
      <c r="AZ89" s="9" t="str">
        <f t="shared" si="74"/>
        <v>1776 DATA 0,0,0,0,0,0,0,0,0,0</v>
      </c>
      <c r="BA89" s="31"/>
      <c r="BB89" s="33">
        <f t="shared" si="75"/>
        <v>8</v>
      </c>
      <c r="BC89" s="26">
        <f t="shared" si="76"/>
        <v>0</v>
      </c>
      <c r="BD89" s="26">
        <f t="shared" si="77"/>
        <v>0</v>
      </c>
      <c r="BE89" s="26">
        <f t="shared" si="78"/>
        <v>0</v>
      </c>
      <c r="BF89" s="26">
        <f t="shared" si="79"/>
        <v>0</v>
      </c>
      <c r="BG89" s="26">
        <f t="shared" si="80"/>
        <v>0</v>
      </c>
      <c r="BH89" s="26">
        <f t="shared" si="81"/>
        <v>0</v>
      </c>
      <c r="BI89" s="26">
        <f t="shared" si="82"/>
        <v>0</v>
      </c>
      <c r="BJ89" s="26">
        <f t="shared" si="83"/>
        <v>0</v>
      </c>
      <c r="BK89" s="34">
        <f t="shared" si="84"/>
        <v>8</v>
      </c>
      <c r="BL89" s="31"/>
      <c r="BM89">
        <f t="shared" si="88"/>
        <v>1777</v>
      </c>
      <c r="BN89" t="s">
        <v>5</v>
      </c>
      <c r="BO89" s="8" t="str">
        <f t="shared" si="85"/>
        <v>8,0,0,0,0,0,0,0,0,8</v>
      </c>
      <c r="BP89"/>
      <c r="BQ89" s="9" t="str">
        <f t="shared" si="86"/>
        <v>1777 DATA 8,0,0,0,0,0,0,0,0,8</v>
      </c>
    </row>
    <row r="90" spans="19:69">
      <c r="S90" s="4">
        <f t="shared" si="46"/>
        <v>0</v>
      </c>
      <c r="T90" s="7">
        <f t="shared" si="47"/>
        <v>0</v>
      </c>
      <c r="U90" s="7">
        <f t="shared" si="48"/>
        <v>0</v>
      </c>
      <c r="V90" s="7">
        <f t="shared" si="49"/>
        <v>0</v>
      </c>
      <c r="W90" s="7">
        <f t="shared" si="50"/>
        <v>0</v>
      </c>
      <c r="X90" s="7">
        <f t="shared" si="51"/>
        <v>0</v>
      </c>
      <c r="Y90" s="7">
        <f t="shared" si="52"/>
        <v>0</v>
      </c>
      <c r="Z90" s="7">
        <f t="shared" si="53"/>
        <v>0</v>
      </c>
      <c r="AA90" s="7">
        <f t="shared" si="54"/>
        <v>0</v>
      </c>
      <c r="AB90" s="6">
        <f t="shared" si="55"/>
        <v>0</v>
      </c>
      <c r="AC90" s="6">
        <f t="shared" si="56"/>
        <v>0</v>
      </c>
      <c r="AD90" s="6">
        <f t="shared" si="57"/>
        <v>0</v>
      </c>
      <c r="AE90" s="6">
        <f t="shared" si="58"/>
        <v>0</v>
      </c>
      <c r="AF90" s="6">
        <f t="shared" si="59"/>
        <v>0</v>
      </c>
      <c r="AG90" s="6">
        <f t="shared" si="60"/>
        <v>0</v>
      </c>
      <c r="AH90" s="6">
        <f t="shared" si="61"/>
        <v>0</v>
      </c>
      <c r="AI90" s="6">
        <f t="shared" si="62"/>
        <v>0</v>
      </c>
      <c r="AK90" s="33">
        <f t="shared" si="63"/>
        <v>0</v>
      </c>
      <c r="AL90" s="17">
        <f t="shared" si="64"/>
        <v>0</v>
      </c>
      <c r="AM90" s="17">
        <f t="shared" si="65"/>
        <v>0</v>
      </c>
      <c r="AN90" s="17">
        <f t="shared" si="66"/>
        <v>0</v>
      </c>
      <c r="AO90" s="17">
        <f t="shared" si="67"/>
        <v>0</v>
      </c>
      <c r="AP90" s="17">
        <f t="shared" si="68"/>
        <v>0</v>
      </c>
      <c r="AQ90" s="17">
        <f t="shared" si="69"/>
        <v>0</v>
      </c>
      <c r="AR90" s="17">
        <f t="shared" si="70"/>
        <v>0</v>
      </c>
      <c r="AS90" s="17">
        <f t="shared" si="71"/>
        <v>0</v>
      </c>
      <c r="AT90" s="34">
        <f t="shared" si="72"/>
        <v>0</v>
      </c>
      <c r="AU90" s="31"/>
      <c r="AV90">
        <f t="shared" si="87"/>
        <v>1778</v>
      </c>
      <c r="AW90" t="s">
        <v>5</v>
      </c>
      <c r="AX90" s="8" t="str">
        <f t="shared" si="73"/>
        <v>0,0,0,0,0,0,0,0,0,0</v>
      </c>
      <c r="AY90" s="31"/>
      <c r="AZ90" s="9" t="str">
        <f t="shared" si="74"/>
        <v>1778 DATA 0,0,0,0,0,0,0,0,0,0</v>
      </c>
      <c r="BA90" s="31"/>
      <c r="BB90" s="33">
        <f t="shared" si="75"/>
        <v>8</v>
      </c>
      <c r="BC90" s="26">
        <f t="shared" si="76"/>
        <v>0</v>
      </c>
      <c r="BD90" s="26">
        <f t="shared" si="77"/>
        <v>0</v>
      </c>
      <c r="BE90" s="26">
        <f t="shared" si="78"/>
        <v>0</v>
      </c>
      <c r="BF90" s="26">
        <f t="shared" si="79"/>
        <v>0</v>
      </c>
      <c r="BG90" s="26">
        <f t="shared" si="80"/>
        <v>0</v>
      </c>
      <c r="BH90" s="26">
        <f t="shared" si="81"/>
        <v>0</v>
      </c>
      <c r="BI90" s="26">
        <f t="shared" si="82"/>
        <v>0</v>
      </c>
      <c r="BJ90" s="26">
        <f t="shared" si="83"/>
        <v>0</v>
      </c>
      <c r="BK90" s="34">
        <f t="shared" si="84"/>
        <v>8</v>
      </c>
      <c r="BL90" s="31"/>
      <c r="BM90">
        <f t="shared" si="88"/>
        <v>1779</v>
      </c>
      <c r="BN90" t="s">
        <v>5</v>
      </c>
      <c r="BO90" s="8" t="str">
        <f t="shared" si="85"/>
        <v>8,0,0,0,0,0,0,0,0,8</v>
      </c>
      <c r="BP90"/>
      <c r="BQ90" s="9" t="str">
        <f t="shared" si="86"/>
        <v>1779 DATA 8,0,0,0,0,0,0,0,0,8</v>
      </c>
    </row>
    <row r="91" spans="19:69">
      <c r="S91" s="4">
        <f t="shared" si="46"/>
        <v>0</v>
      </c>
      <c r="T91" s="7">
        <f t="shared" si="47"/>
        <v>0</v>
      </c>
      <c r="U91" s="7">
        <f t="shared" si="48"/>
        <v>0</v>
      </c>
      <c r="V91" s="7">
        <f t="shared" si="49"/>
        <v>0</v>
      </c>
      <c r="W91" s="7">
        <f t="shared" si="50"/>
        <v>0</v>
      </c>
      <c r="X91" s="7">
        <f t="shared" si="51"/>
        <v>0</v>
      </c>
      <c r="Y91" s="7">
        <f t="shared" si="52"/>
        <v>0</v>
      </c>
      <c r="Z91" s="7">
        <f t="shared" si="53"/>
        <v>0</v>
      </c>
      <c r="AA91" s="7">
        <f t="shared" si="54"/>
        <v>0</v>
      </c>
      <c r="AB91" s="6">
        <f t="shared" si="55"/>
        <v>0</v>
      </c>
      <c r="AC91" s="6">
        <f t="shared" si="56"/>
        <v>0</v>
      </c>
      <c r="AD91" s="6">
        <f t="shared" si="57"/>
        <v>0</v>
      </c>
      <c r="AE91" s="6">
        <f t="shared" si="58"/>
        <v>0</v>
      </c>
      <c r="AF91" s="6">
        <f t="shared" si="59"/>
        <v>0</v>
      </c>
      <c r="AG91" s="6">
        <f t="shared" si="60"/>
        <v>0</v>
      </c>
      <c r="AH91" s="6">
        <f t="shared" si="61"/>
        <v>0</v>
      </c>
      <c r="AI91" s="6">
        <f t="shared" si="62"/>
        <v>0</v>
      </c>
      <c r="AK91" s="33">
        <f t="shared" si="63"/>
        <v>0</v>
      </c>
      <c r="AL91" s="17">
        <f t="shared" si="64"/>
        <v>0</v>
      </c>
      <c r="AM91" s="17">
        <f t="shared" si="65"/>
        <v>0</v>
      </c>
      <c r="AN91" s="17">
        <f t="shared" si="66"/>
        <v>0</v>
      </c>
      <c r="AO91" s="17">
        <f t="shared" si="67"/>
        <v>0</v>
      </c>
      <c r="AP91" s="17">
        <f t="shared" si="68"/>
        <v>0</v>
      </c>
      <c r="AQ91" s="17">
        <f t="shared" si="69"/>
        <v>0</v>
      </c>
      <c r="AR91" s="17">
        <f t="shared" si="70"/>
        <v>0</v>
      </c>
      <c r="AS91" s="17">
        <f t="shared" si="71"/>
        <v>0</v>
      </c>
      <c r="AT91" s="34">
        <f t="shared" si="72"/>
        <v>0</v>
      </c>
      <c r="AU91" s="31"/>
      <c r="AV91">
        <f t="shared" si="87"/>
        <v>1780</v>
      </c>
      <c r="AW91" t="s">
        <v>5</v>
      </c>
      <c r="AX91" s="8" t="str">
        <f t="shared" si="73"/>
        <v>0,0,0,0,0,0,0,0,0,0</v>
      </c>
      <c r="AY91" s="31"/>
      <c r="AZ91" s="9" t="str">
        <f t="shared" si="74"/>
        <v>1780 DATA 0,0,0,0,0,0,0,0,0,0</v>
      </c>
      <c r="BA91" s="31"/>
      <c r="BB91" s="33">
        <f t="shared" si="75"/>
        <v>8</v>
      </c>
      <c r="BC91" s="26">
        <f t="shared" si="76"/>
        <v>0</v>
      </c>
      <c r="BD91" s="26">
        <f t="shared" si="77"/>
        <v>0</v>
      </c>
      <c r="BE91" s="26">
        <f t="shared" si="78"/>
        <v>0</v>
      </c>
      <c r="BF91" s="26">
        <f t="shared" si="79"/>
        <v>0</v>
      </c>
      <c r="BG91" s="26">
        <f t="shared" si="80"/>
        <v>0</v>
      </c>
      <c r="BH91" s="26">
        <f t="shared" si="81"/>
        <v>0</v>
      </c>
      <c r="BI91" s="26">
        <f t="shared" si="82"/>
        <v>0</v>
      </c>
      <c r="BJ91" s="26">
        <f t="shared" si="83"/>
        <v>0</v>
      </c>
      <c r="BK91" s="34">
        <f t="shared" si="84"/>
        <v>8</v>
      </c>
      <c r="BL91" s="31"/>
      <c r="BM91">
        <f t="shared" si="88"/>
        <v>1781</v>
      </c>
      <c r="BN91" t="s">
        <v>5</v>
      </c>
      <c r="BO91" s="8" t="str">
        <f t="shared" si="85"/>
        <v>8,0,0,0,0,0,0,0,0,8</v>
      </c>
      <c r="BP91"/>
      <c r="BQ91" s="9" t="str">
        <f t="shared" si="86"/>
        <v>1781 DATA 8,0,0,0,0,0,0,0,0,8</v>
      </c>
    </row>
    <row r="92" spans="19:69">
      <c r="S92" s="4">
        <f t="shared" si="46"/>
        <v>0</v>
      </c>
      <c r="T92" s="7">
        <f t="shared" si="47"/>
        <v>0</v>
      </c>
      <c r="U92" s="7">
        <f t="shared" si="48"/>
        <v>0</v>
      </c>
      <c r="V92" s="7">
        <f t="shared" si="49"/>
        <v>0</v>
      </c>
      <c r="W92" s="7">
        <f t="shared" si="50"/>
        <v>0</v>
      </c>
      <c r="X92" s="7">
        <f t="shared" si="51"/>
        <v>0</v>
      </c>
      <c r="Y92" s="7">
        <f t="shared" si="52"/>
        <v>0</v>
      </c>
      <c r="Z92" s="7">
        <f t="shared" si="53"/>
        <v>0</v>
      </c>
      <c r="AA92" s="7">
        <f t="shared" si="54"/>
        <v>0</v>
      </c>
      <c r="AB92" s="6">
        <f t="shared" si="55"/>
        <v>0</v>
      </c>
      <c r="AC92" s="6">
        <f t="shared" si="56"/>
        <v>0</v>
      </c>
      <c r="AD92" s="6">
        <f t="shared" si="57"/>
        <v>0</v>
      </c>
      <c r="AE92" s="6">
        <f t="shared" si="58"/>
        <v>0</v>
      </c>
      <c r="AF92" s="6">
        <f t="shared" si="59"/>
        <v>0</v>
      </c>
      <c r="AG92" s="6">
        <f t="shared" si="60"/>
        <v>0</v>
      </c>
      <c r="AH92" s="6">
        <f t="shared" si="61"/>
        <v>0</v>
      </c>
      <c r="AI92" s="6">
        <f t="shared" si="62"/>
        <v>0</v>
      </c>
      <c r="AK92" s="33">
        <f t="shared" si="63"/>
        <v>0</v>
      </c>
      <c r="AL92" s="17">
        <f t="shared" si="64"/>
        <v>0</v>
      </c>
      <c r="AM92" s="17">
        <f t="shared" si="65"/>
        <v>0</v>
      </c>
      <c r="AN92" s="17">
        <f t="shared" si="66"/>
        <v>0</v>
      </c>
      <c r="AO92" s="17">
        <f t="shared" si="67"/>
        <v>0</v>
      </c>
      <c r="AP92" s="17">
        <f t="shared" si="68"/>
        <v>0</v>
      </c>
      <c r="AQ92" s="17">
        <f t="shared" si="69"/>
        <v>0</v>
      </c>
      <c r="AR92" s="17">
        <f t="shared" si="70"/>
        <v>0</v>
      </c>
      <c r="AS92" s="17">
        <f t="shared" si="71"/>
        <v>0</v>
      </c>
      <c r="AT92" s="34">
        <f t="shared" si="72"/>
        <v>0</v>
      </c>
      <c r="AU92" s="31"/>
      <c r="AV92">
        <f t="shared" si="87"/>
        <v>1782</v>
      </c>
      <c r="AW92" t="s">
        <v>5</v>
      </c>
      <c r="AX92" s="8" t="str">
        <f t="shared" si="73"/>
        <v>0,0,0,0,0,0,0,0,0,0</v>
      </c>
      <c r="AY92" s="31"/>
      <c r="AZ92" s="9" t="str">
        <f t="shared" si="74"/>
        <v>1782 DATA 0,0,0,0,0,0,0,0,0,0</v>
      </c>
      <c r="BA92" s="31"/>
      <c r="BB92" s="33">
        <f t="shared" si="75"/>
        <v>8</v>
      </c>
      <c r="BC92" s="26">
        <f t="shared" si="76"/>
        <v>0</v>
      </c>
      <c r="BD92" s="26">
        <f t="shared" si="77"/>
        <v>0</v>
      </c>
      <c r="BE92" s="26">
        <f t="shared" si="78"/>
        <v>0</v>
      </c>
      <c r="BF92" s="26">
        <f t="shared" si="79"/>
        <v>0</v>
      </c>
      <c r="BG92" s="26">
        <f t="shared" si="80"/>
        <v>0</v>
      </c>
      <c r="BH92" s="26">
        <f t="shared" si="81"/>
        <v>0</v>
      </c>
      <c r="BI92" s="26">
        <f t="shared" si="82"/>
        <v>0</v>
      </c>
      <c r="BJ92" s="26">
        <f t="shared" si="83"/>
        <v>0</v>
      </c>
      <c r="BK92" s="34">
        <f t="shared" si="84"/>
        <v>8</v>
      </c>
      <c r="BL92" s="31"/>
      <c r="BM92">
        <f t="shared" si="88"/>
        <v>1783</v>
      </c>
      <c r="BN92" t="s">
        <v>5</v>
      </c>
      <c r="BO92" s="8" t="str">
        <f t="shared" si="85"/>
        <v>8,0,0,0,0,0,0,0,0,8</v>
      </c>
      <c r="BP92"/>
      <c r="BQ92" s="9" t="str">
        <f t="shared" si="86"/>
        <v>1783 DATA 8,0,0,0,0,0,0,0,0,8</v>
      </c>
    </row>
    <row r="93" spans="19:69">
      <c r="S93" s="4">
        <f t="shared" si="46"/>
        <v>0</v>
      </c>
      <c r="T93" s="7">
        <f t="shared" si="47"/>
        <v>0</v>
      </c>
      <c r="U93" s="7">
        <f t="shared" si="48"/>
        <v>0</v>
      </c>
      <c r="V93" s="7">
        <f t="shared" si="49"/>
        <v>0</v>
      </c>
      <c r="W93" s="7">
        <f t="shared" si="50"/>
        <v>0</v>
      </c>
      <c r="X93" s="7">
        <f t="shared" si="51"/>
        <v>0</v>
      </c>
      <c r="Y93" s="7">
        <f t="shared" si="52"/>
        <v>0</v>
      </c>
      <c r="Z93" s="7">
        <f t="shared" si="53"/>
        <v>0</v>
      </c>
      <c r="AA93" s="7">
        <f t="shared" si="54"/>
        <v>0</v>
      </c>
      <c r="AB93" s="6">
        <f t="shared" si="55"/>
        <v>0</v>
      </c>
      <c r="AC93" s="6">
        <f t="shared" si="56"/>
        <v>0</v>
      </c>
      <c r="AD93" s="6">
        <f t="shared" si="57"/>
        <v>0</v>
      </c>
      <c r="AE93" s="6">
        <f t="shared" si="58"/>
        <v>0</v>
      </c>
      <c r="AF93" s="6">
        <f t="shared" si="59"/>
        <v>0</v>
      </c>
      <c r="AG93" s="6">
        <f t="shared" si="60"/>
        <v>0</v>
      </c>
      <c r="AH93" s="6">
        <f t="shared" si="61"/>
        <v>0</v>
      </c>
      <c r="AI93" s="6">
        <f t="shared" si="62"/>
        <v>0</v>
      </c>
      <c r="AK93" s="33">
        <f t="shared" si="63"/>
        <v>0</v>
      </c>
      <c r="AL93" s="17">
        <f t="shared" si="64"/>
        <v>0</v>
      </c>
      <c r="AM93" s="17">
        <f t="shared" si="65"/>
        <v>0</v>
      </c>
      <c r="AN93" s="17">
        <f t="shared" si="66"/>
        <v>0</v>
      </c>
      <c r="AO93" s="17">
        <f t="shared" si="67"/>
        <v>0</v>
      </c>
      <c r="AP93" s="17">
        <f t="shared" si="68"/>
        <v>0</v>
      </c>
      <c r="AQ93" s="17">
        <f t="shared" si="69"/>
        <v>0</v>
      </c>
      <c r="AR93" s="17">
        <f t="shared" si="70"/>
        <v>0</v>
      </c>
      <c r="AS93" s="17">
        <f t="shared" si="71"/>
        <v>0</v>
      </c>
      <c r="AT93" s="34">
        <f t="shared" si="72"/>
        <v>0</v>
      </c>
      <c r="AU93" s="31"/>
      <c r="AV93">
        <f t="shared" si="87"/>
        <v>1784</v>
      </c>
      <c r="AW93" t="s">
        <v>5</v>
      </c>
      <c r="AX93" s="8" t="str">
        <f t="shared" si="73"/>
        <v>0,0,0,0,0,0,0,0,0,0</v>
      </c>
      <c r="AY93" s="31"/>
      <c r="AZ93" s="9" t="str">
        <f t="shared" si="74"/>
        <v>1784 DATA 0,0,0,0,0,0,0,0,0,0</v>
      </c>
      <c r="BA93" s="31"/>
      <c r="BB93" s="33">
        <f t="shared" si="75"/>
        <v>8</v>
      </c>
      <c r="BC93" s="26">
        <f t="shared" si="76"/>
        <v>0</v>
      </c>
      <c r="BD93" s="26">
        <f t="shared" si="77"/>
        <v>0</v>
      </c>
      <c r="BE93" s="26">
        <f t="shared" si="78"/>
        <v>0</v>
      </c>
      <c r="BF93" s="26">
        <f t="shared" si="79"/>
        <v>0</v>
      </c>
      <c r="BG93" s="26">
        <f t="shared" si="80"/>
        <v>0</v>
      </c>
      <c r="BH93" s="26">
        <f t="shared" si="81"/>
        <v>0</v>
      </c>
      <c r="BI93" s="26">
        <f t="shared" si="82"/>
        <v>0</v>
      </c>
      <c r="BJ93" s="26">
        <f t="shared" si="83"/>
        <v>0</v>
      </c>
      <c r="BK93" s="34">
        <f t="shared" si="84"/>
        <v>8</v>
      </c>
      <c r="BL93" s="31"/>
      <c r="BM93">
        <f t="shared" si="88"/>
        <v>1785</v>
      </c>
      <c r="BN93" t="s">
        <v>5</v>
      </c>
      <c r="BO93" s="8" t="str">
        <f t="shared" si="85"/>
        <v>8,0,0,0,0,0,0,0,0,8</v>
      </c>
      <c r="BP93"/>
      <c r="BQ93" s="9" t="str">
        <f t="shared" si="86"/>
        <v>1785 DATA 8,0,0,0,0,0,0,0,0,8</v>
      </c>
    </row>
    <row r="94" spans="19:69">
      <c r="S94" s="4">
        <f t="shared" si="46"/>
        <v>0</v>
      </c>
      <c r="T94" s="7">
        <f t="shared" si="47"/>
        <v>0</v>
      </c>
      <c r="U94" s="7">
        <f t="shared" si="48"/>
        <v>0</v>
      </c>
      <c r="V94" s="7">
        <f t="shared" si="49"/>
        <v>0</v>
      </c>
      <c r="W94" s="7">
        <f t="shared" si="50"/>
        <v>0</v>
      </c>
      <c r="X94" s="7">
        <f t="shared" si="51"/>
        <v>0</v>
      </c>
      <c r="Y94" s="7">
        <f t="shared" si="52"/>
        <v>0</v>
      </c>
      <c r="Z94" s="7">
        <f t="shared" si="53"/>
        <v>0</v>
      </c>
      <c r="AA94" s="7">
        <f t="shared" si="54"/>
        <v>0</v>
      </c>
      <c r="AB94" s="6">
        <f t="shared" si="55"/>
        <v>0</v>
      </c>
      <c r="AC94" s="6">
        <f t="shared" si="56"/>
        <v>0</v>
      </c>
      <c r="AD94" s="6">
        <f t="shared" si="57"/>
        <v>0</v>
      </c>
      <c r="AE94" s="6">
        <f t="shared" si="58"/>
        <v>0</v>
      </c>
      <c r="AF94" s="6">
        <f t="shared" si="59"/>
        <v>0</v>
      </c>
      <c r="AG94" s="6">
        <f t="shared" si="60"/>
        <v>0</v>
      </c>
      <c r="AH94" s="6">
        <f t="shared" si="61"/>
        <v>0</v>
      </c>
      <c r="AI94" s="6">
        <f t="shared" si="62"/>
        <v>0</v>
      </c>
      <c r="AK94" s="33">
        <f t="shared" si="63"/>
        <v>0</v>
      </c>
      <c r="AL94" s="17">
        <f t="shared" si="64"/>
        <v>0</v>
      </c>
      <c r="AM94" s="17">
        <f t="shared" si="65"/>
        <v>0</v>
      </c>
      <c r="AN94" s="17">
        <f t="shared" si="66"/>
        <v>0</v>
      </c>
      <c r="AO94" s="17">
        <f t="shared" si="67"/>
        <v>0</v>
      </c>
      <c r="AP94" s="17">
        <f t="shared" si="68"/>
        <v>0</v>
      </c>
      <c r="AQ94" s="17">
        <f t="shared" si="69"/>
        <v>0</v>
      </c>
      <c r="AR94" s="17">
        <f t="shared" si="70"/>
        <v>0</v>
      </c>
      <c r="AS94" s="17">
        <f t="shared" si="71"/>
        <v>0</v>
      </c>
      <c r="AT94" s="34">
        <f t="shared" si="72"/>
        <v>0</v>
      </c>
      <c r="AU94" s="31"/>
      <c r="AV94">
        <f t="shared" si="87"/>
        <v>1786</v>
      </c>
      <c r="AW94" t="s">
        <v>5</v>
      </c>
      <c r="AX94" s="8" t="str">
        <f t="shared" si="73"/>
        <v>0,0,0,0,0,0,0,0,0,0</v>
      </c>
      <c r="AY94" s="31"/>
      <c r="AZ94" s="9" t="str">
        <f t="shared" si="74"/>
        <v>1786 DATA 0,0,0,0,0,0,0,0,0,0</v>
      </c>
      <c r="BA94" s="31"/>
      <c r="BB94" s="33">
        <f t="shared" si="75"/>
        <v>8</v>
      </c>
      <c r="BC94" s="26">
        <f t="shared" si="76"/>
        <v>0</v>
      </c>
      <c r="BD94" s="26">
        <f t="shared" si="77"/>
        <v>0</v>
      </c>
      <c r="BE94" s="26">
        <f t="shared" si="78"/>
        <v>0</v>
      </c>
      <c r="BF94" s="26">
        <f t="shared" si="79"/>
        <v>0</v>
      </c>
      <c r="BG94" s="26">
        <f t="shared" si="80"/>
        <v>0</v>
      </c>
      <c r="BH94" s="26">
        <f t="shared" si="81"/>
        <v>0</v>
      </c>
      <c r="BI94" s="26">
        <f t="shared" si="82"/>
        <v>0</v>
      </c>
      <c r="BJ94" s="26">
        <f t="shared" si="83"/>
        <v>0</v>
      </c>
      <c r="BK94" s="34">
        <f t="shared" si="84"/>
        <v>8</v>
      </c>
      <c r="BL94" s="31"/>
      <c r="BM94">
        <f t="shared" si="88"/>
        <v>1787</v>
      </c>
      <c r="BN94" t="s">
        <v>5</v>
      </c>
      <c r="BO94" s="8" t="str">
        <f t="shared" si="85"/>
        <v>8,0,0,0,0,0,0,0,0,8</v>
      </c>
      <c r="BP94"/>
      <c r="BQ94" s="9" t="str">
        <f t="shared" si="86"/>
        <v>1787 DATA 8,0,0,0,0,0,0,0,0,8</v>
      </c>
    </row>
    <row r="95" spans="19:69">
      <c r="S95" s="4">
        <f t="shared" si="46"/>
        <v>0</v>
      </c>
      <c r="T95" s="7">
        <f t="shared" si="47"/>
        <v>0</v>
      </c>
      <c r="U95" s="7">
        <f t="shared" si="48"/>
        <v>0</v>
      </c>
      <c r="V95" s="7">
        <f t="shared" si="49"/>
        <v>0</v>
      </c>
      <c r="W95" s="7">
        <f t="shared" si="50"/>
        <v>0</v>
      </c>
      <c r="X95" s="7">
        <f t="shared" si="51"/>
        <v>0</v>
      </c>
      <c r="Y95" s="7">
        <f t="shared" si="52"/>
        <v>0</v>
      </c>
      <c r="Z95" s="7">
        <f t="shared" si="53"/>
        <v>0</v>
      </c>
      <c r="AA95" s="7">
        <f t="shared" si="54"/>
        <v>0</v>
      </c>
      <c r="AB95" s="6">
        <f t="shared" si="55"/>
        <v>0</v>
      </c>
      <c r="AC95" s="6">
        <f t="shared" si="56"/>
        <v>0</v>
      </c>
      <c r="AD95" s="6">
        <f t="shared" si="57"/>
        <v>0</v>
      </c>
      <c r="AE95" s="6">
        <f t="shared" si="58"/>
        <v>0</v>
      </c>
      <c r="AF95" s="6">
        <f t="shared" si="59"/>
        <v>0</v>
      </c>
      <c r="AG95" s="6">
        <f t="shared" si="60"/>
        <v>0</v>
      </c>
      <c r="AH95" s="6">
        <f t="shared" si="61"/>
        <v>0</v>
      </c>
      <c r="AI95" s="6">
        <f t="shared" si="62"/>
        <v>0</v>
      </c>
      <c r="AK95" s="33">
        <f t="shared" si="63"/>
        <v>0</v>
      </c>
      <c r="AL95" s="17">
        <f t="shared" si="64"/>
        <v>0</v>
      </c>
      <c r="AM95" s="17">
        <f t="shared" si="65"/>
        <v>0</v>
      </c>
      <c r="AN95" s="17">
        <f t="shared" si="66"/>
        <v>0</v>
      </c>
      <c r="AO95" s="17">
        <f t="shared" si="67"/>
        <v>0</v>
      </c>
      <c r="AP95" s="17">
        <f t="shared" si="68"/>
        <v>0</v>
      </c>
      <c r="AQ95" s="17">
        <f t="shared" si="69"/>
        <v>0</v>
      </c>
      <c r="AR95" s="17">
        <f t="shared" si="70"/>
        <v>0</v>
      </c>
      <c r="AS95" s="17">
        <f t="shared" si="71"/>
        <v>0</v>
      </c>
      <c r="AT95" s="34">
        <f t="shared" si="72"/>
        <v>0</v>
      </c>
      <c r="AU95" s="31"/>
      <c r="AV95">
        <f t="shared" si="87"/>
        <v>1788</v>
      </c>
      <c r="AW95" t="s">
        <v>5</v>
      </c>
      <c r="AX95" s="8" t="str">
        <f t="shared" si="73"/>
        <v>0,0,0,0,0,0,0,0,0,0</v>
      </c>
      <c r="AY95" s="31"/>
      <c r="AZ95" s="9" t="str">
        <f t="shared" si="74"/>
        <v>1788 DATA 0,0,0,0,0,0,0,0,0,0</v>
      </c>
      <c r="BA95" s="31"/>
      <c r="BB95" s="33">
        <f t="shared" si="75"/>
        <v>8</v>
      </c>
      <c r="BC95" s="26">
        <f t="shared" si="76"/>
        <v>0</v>
      </c>
      <c r="BD95" s="26">
        <f t="shared" si="77"/>
        <v>0</v>
      </c>
      <c r="BE95" s="26">
        <f t="shared" si="78"/>
        <v>0</v>
      </c>
      <c r="BF95" s="26">
        <f t="shared" si="79"/>
        <v>0</v>
      </c>
      <c r="BG95" s="26">
        <f t="shared" si="80"/>
        <v>0</v>
      </c>
      <c r="BH95" s="26">
        <f t="shared" si="81"/>
        <v>0</v>
      </c>
      <c r="BI95" s="26">
        <f t="shared" si="82"/>
        <v>0</v>
      </c>
      <c r="BJ95" s="26">
        <f t="shared" si="83"/>
        <v>0</v>
      </c>
      <c r="BK95" s="34">
        <f t="shared" si="84"/>
        <v>8</v>
      </c>
      <c r="BL95" s="31"/>
      <c r="BM95">
        <f t="shared" si="88"/>
        <v>1789</v>
      </c>
      <c r="BN95" t="s">
        <v>5</v>
      </c>
      <c r="BO95" s="8" t="str">
        <f t="shared" si="85"/>
        <v>8,0,0,0,0,0,0,0,0,8</v>
      </c>
      <c r="BP95"/>
      <c r="BQ95" s="9" t="str">
        <f t="shared" si="86"/>
        <v>1789 DATA 8,0,0,0,0,0,0,0,0,8</v>
      </c>
    </row>
    <row r="96" spans="19:69">
      <c r="S96" s="4">
        <f t="shared" si="46"/>
        <v>0</v>
      </c>
      <c r="T96" s="7">
        <f t="shared" si="47"/>
        <v>0</v>
      </c>
      <c r="U96" s="7">
        <f t="shared" si="48"/>
        <v>0</v>
      </c>
      <c r="V96" s="7">
        <f t="shared" si="49"/>
        <v>0</v>
      </c>
      <c r="W96" s="7">
        <f t="shared" si="50"/>
        <v>0</v>
      </c>
      <c r="X96" s="7">
        <f t="shared" si="51"/>
        <v>0</v>
      </c>
      <c r="Y96" s="7">
        <f t="shared" si="52"/>
        <v>0</v>
      </c>
      <c r="Z96" s="7">
        <f t="shared" si="53"/>
        <v>0</v>
      </c>
      <c r="AA96" s="7">
        <f t="shared" si="54"/>
        <v>0</v>
      </c>
      <c r="AB96" s="6">
        <f t="shared" si="55"/>
        <v>0</v>
      </c>
      <c r="AC96" s="6">
        <f t="shared" si="56"/>
        <v>0</v>
      </c>
      <c r="AD96" s="6">
        <f t="shared" si="57"/>
        <v>0</v>
      </c>
      <c r="AE96" s="6">
        <f t="shared" si="58"/>
        <v>0</v>
      </c>
      <c r="AF96" s="6">
        <f t="shared" si="59"/>
        <v>0</v>
      </c>
      <c r="AG96" s="6">
        <f t="shared" si="60"/>
        <v>0</v>
      </c>
      <c r="AH96" s="6">
        <f t="shared" si="61"/>
        <v>0</v>
      </c>
      <c r="AI96" s="6">
        <f t="shared" si="62"/>
        <v>0</v>
      </c>
      <c r="AK96" s="33">
        <f t="shared" si="63"/>
        <v>0</v>
      </c>
      <c r="AL96" s="17">
        <f t="shared" si="64"/>
        <v>0</v>
      </c>
      <c r="AM96" s="17">
        <f t="shared" si="65"/>
        <v>0</v>
      </c>
      <c r="AN96" s="17">
        <f t="shared" si="66"/>
        <v>0</v>
      </c>
      <c r="AO96" s="17">
        <f t="shared" si="67"/>
        <v>0</v>
      </c>
      <c r="AP96" s="17">
        <f t="shared" si="68"/>
        <v>0</v>
      </c>
      <c r="AQ96" s="17">
        <f t="shared" si="69"/>
        <v>0</v>
      </c>
      <c r="AR96" s="17">
        <f t="shared" si="70"/>
        <v>0</v>
      </c>
      <c r="AS96" s="17">
        <f t="shared" si="71"/>
        <v>0</v>
      </c>
      <c r="AT96" s="34">
        <f t="shared" si="72"/>
        <v>0</v>
      </c>
      <c r="AU96" s="31"/>
      <c r="AV96">
        <f t="shared" si="87"/>
        <v>1790</v>
      </c>
      <c r="AW96" t="s">
        <v>5</v>
      </c>
      <c r="AX96" s="8" t="str">
        <f t="shared" si="73"/>
        <v>0,0,0,0,0,0,0,0,0,0</v>
      </c>
      <c r="AY96" s="31"/>
      <c r="AZ96" s="9" t="str">
        <f t="shared" si="74"/>
        <v>1790 DATA 0,0,0,0,0,0,0,0,0,0</v>
      </c>
      <c r="BA96" s="31"/>
      <c r="BB96" s="33">
        <f t="shared" si="75"/>
        <v>8</v>
      </c>
      <c r="BC96" s="26">
        <f t="shared" si="76"/>
        <v>0</v>
      </c>
      <c r="BD96" s="26">
        <f t="shared" si="77"/>
        <v>0</v>
      </c>
      <c r="BE96" s="26">
        <f t="shared" si="78"/>
        <v>0</v>
      </c>
      <c r="BF96" s="26">
        <f t="shared" si="79"/>
        <v>0</v>
      </c>
      <c r="BG96" s="26">
        <f t="shared" si="80"/>
        <v>0</v>
      </c>
      <c r="BH96" s="26">
        <f t="shared" si="81"/>
        <v>0</v>
      </c>
      <c r="BI96" s="26">
        <f t="shared" si="82"/>
        <v>0</v>
      </c>
      <c r="BJ96" s="26">
        <f t="shared" si="83"/>
        <v>0</v>
      </c>
      <c r="BK96" s="34">
        <f t="shared" si="84"/>
        <v>8</v>
      </c>
      <c r="BL96" s="31"/>
      <c r="BM96">
        <f t="shared" si="88"/>
        <v>1791</v>
      </c>
      <c r="BN96" t="s">
        <v>5</v>
      </c>
      <c r="BO96" s="8" t="str">
        <f t="shared" si="85"/>
        <v>8,0,0,0,0,0,0,0,0,8</v>
      </c>
      <c r="BP96"/>
      <c r="BQ96" s="9" t="str">
        <f t="shared" si="86"/>
        <v>1791 DATA 8,0,0,0,0,0,0,0,0,8</v>
      </c>
    </row>
    <row r="97" spans="1:72">
      <c r="S97" s="4">
        <f t="shared" si="46"/>
        <v>0</v>
      </c>
      <c r="T97" s="7">
        <f t="shared" si="47"/>
        <v>0</v>
      </c>
      <c r="U97" s="7">
        <f t="shared" si="48"/>
        <v>0</v>
      </c>
      <c r="V97" s="7">
        <f t="shared" si="49"/>
        <v>0</v>
      </c>
      <c r="W97" s="7">
        <f t="shared" si="50"/>
        <v>0</v>
      </c>
      <c r="X97" s="7">
        <f t="shared" si="51"/>
        <v>0</v>
      </c>
      <c r="Y97" s="7">
        <f t="shared" si="52"/>
        <v>0</v>
      </c>
      <c r="Z97" s="7">
        <f t="shared" si="53"/>
        <v>0</v>
      </c>
      <c r="AA97" s="7">
        <f t="shared" si="54"/>
        <v>0</v>
      </c>
      <c r="AB97" s="6">
        <f t="shared" si="55"/>
        <v>0</v>
      </c>
      <c r="AC97" s="6">
        <f t="shared" si="56"/>
        <v>0</v>
      </c>
      <c r="AD97" s="6">
        <f t="shared" si="57"/>
        <v>0</v>
      </c>
      <c r="AE97" s="6">
        <f t="shared" si="58"/>
        <v>0</v>
      </c>
      <c r="AF97" s="6">
        <f t="shared" si="59"/>
        <v>0</v>
      </c>
      <c r="AG97" s="6">
        <f t="shared" si="60"/>
        <v>0</v>
      </c>
      <c r="AH97" s="6">
        <f t="shared" si="61"/>
        <v>0</v>
      </c>
      <c r="AI97" s="6">
        <f t="shared" si="62"/>
        <v>0</v>
      </c>
      <c r="AK97" s="33">
        <f t="shared" si="63"/>
        <v>0</v>
      </c>
      <c r="AL97" s="17">
        <f t="shared" si="64"/>
        <v>0</v>
      </c>
      <c r="AM97" s="17">
        <f t="shared" si="65"/>
        <v>0</v>
      </c>
      <c r="AN97" s="17">
        <f t="shared" si="66"/>
        <v>0</v>
      </c>
      <c r="AO97" s="17">
        <f t="shared" si="67"/>
        <v>0</v>
      </c>
      <c r="AP97" s="17">
        <f t="shared" si="68"/>
        <v>0</v>
      </c>
      <c r="AQ97" s="17">
        <f t="shared" si="69"/>
        <v>0</v>
      </c>
      <c r="AR97" s="17">
        <f t="shared" si="70"/>
        <v>0</v>
      </c>
      <c r="AS97" s="17">
        <f t="shared" si="71"/>
        <v>0</v>
      </c>
      <c r="AT97" s="34">
        <f t="shared" si="72"/>
        <v>0</v>
      </c>
      <c r="AU97" s="31"/>
      <c r="AV97">
        <f t="shared" si="87"/>
        <v>1792</v>
      </c>
      <c r="AW97" t="s">
        <v>5</v>
      </c>
      <c r="AX97" s="8" t="str">
        <f t="shared" si="73"/>
        <v>0,0,0,0,0,0,0,0,0,0</v>
      </c>
      <c r="AY97" s="31"/>
      <c r="AZ97" s="9" t="str">
        <f t="shared" si="74"/>
        <v>1792 DATA 0,0,0,0,0,0,0,0,0,0</v>
      </c>
      <c r="BA97" s="31"/>
      <c r="BB97" s="33">
        <f t="shared" si="75"/>
        <v>8</v>
      </c>
      <c r="BC97" s="26">
        <f t="shared" si="76"/>
        <v>0</v>
      </c>
      <c r="BD97" s="26">
        <f t="shared" si="77"/>
        <v>0</v>
      </c>
      <c r="BE97" s="26">
        <f t="shared" si="78"/>
        <v>0</v>
      </c>
      <c r="BF97" s="26">
        <f t="shared" si="79"/>
        <v>0</v>
      </c>
      <c r="BG97" s="26">
        <f t="shared" si="80"/>
        <v>0</v>
      </c>
      <c r="BH97" s="26">
        <f t="shared" si="81"/>
        <v>0</v>
      </c>
      <c r="BI97" s="26">
        <f t="shared" si="82"/>
        <v>0</v>
      </c>
      <c r="BJ97" s="26">
        <f t="shared" si="83"/>
        <v>0</v>
      </c>
      <c r="BK97" s="34">
        <f t="shared" si="84"/>
        <v>8</v>
      </c>
      <c r="BL97" s="31"/>
      <c r="BM97">
        <f t="shared" si="88"/>
        <v>1793</v>
      </c>
      <c r="BN97" t="s">
        <v>5</v>
      </c>
      <c r="BO97" s="8" t="str">
        <f t="shared" si="85"/>
        <v>8,0,0,0,0,0,0,0,0,8</v>
      </c>
      <c r="BP97"/>
      <c r="BQ97" s="9" t="str">
        <f t="shared" si="86"/>
        <v>1793 DATA 8,0,0,0,0,0,0,0,0,8</v>
      </c>
    </row>
    <row r="98" spans="1:72">
      <c r="S98" s="4">
        <f t="shared" si="46"/>
        <v>0</v>
      </c>
      <c r="T98" s="7">
        <f t="shared" si="47"/>
        <v>0</v>
      </c>
      <c r="U98" s="7">
        <f t="shared" si="48"/>
        <v>0</v>
      </c>
      <c r="V98" s="7">
        <f t="shared" si="49"/>
        <v>0</v>
      </c>
      <c r="W98" s="7">
        <f t="shared" si="50"/>
        <v>0</v>
      </c>
      <c r="X98" s="7">
        <f t="shared" si="51"/>
        <v>0</v>
      </c>
      <c r="Y98" s="7">
        <f t="shared" si="52"/>
        <v>0</v>
      </c>
      <c r="Z98" s="7">
        <f t="shared" si="53"/>
        <v>0</v>
      </c>
      <c r="AA98" s="7">
        <f t="shared" si="54"/>
        <v>0</v>
      </c>
      <c r="AB98" s="6">
        <f t="shared" si="55"/>
        <v>0</v>
      </c>
      <c r="AC98" s="6">
        <f t="shared" si="56"/>
        <v>0</v>
      </c>
      <c r="AD98" s="6">
        <f t="shared" si="57"/>
        <v>0</v>
      </c>
      <c r="AE98" s="6">
        <f t="shared" si="58"/>
        <v>0</v>
      </c>
      <c r="AF98" s="6">
        <f t="shared" si="59"/>
        <v>0</v>
      </c>
      <c r="AG98" s="6">
        <f t="shared" si="60"/>
        <v>0</v>
      </c>
      <c r="AH98" s="6">
        <f t="shared" si="61"/>
        <v>0</v>
      </c>
      <c r="AI98" s="6">
        <f t="shared" si="62"/>
        <v>0</v>
      </c>
      <c r="AK98" s="33">
        <f t="shared" si="63"/>
        <v>0</v>
      </c>
      <c r="AL98" s="17">
        <f t="shared" si="64"/>
        <v>0</v>
      </c>
      <c r="AM98" s="17">
        <f t="shared" si="65"/>
        <v>0</v>
      </c>
      <c r="AN98" s="17">
        <f t="shared" si="66"/>
        <v>0</v>
      </c>
      <c r="AO98" s="17">
        <f t="shared" si="67"/>
        <v>0</v>
      </c>
      <c r="AP98" s="17">
        <f t="shared" si="68"/>
        <v>0</v>
      </c>
      <c r="AQ98" s="17">
        <f t="shared" si="69"/>
        <v>0</v>
      </c>
      <c r="AR98" s="17">
        <f t="shared" si="70"/>
        <v>0</v>
      </c>
      <c r="AS98" s="17">
        <f t="shared" si="71"/>
        <v>0</v>
      </c>
      <c r="AT98" s="34">
        <f t="shared" si="72"/>
        <v>0</v>
      </c>
      <c r="AU98" s="31"/>
      <c r="AV98">
        <f t="shared" si="87"/>
        <v>1794</v>
      </c>
      <c r="AW98" t="s">
        <v>5</v>
      </c>
      <c r="AX98" s="8" t="str">
        <f t="shared" si="73"/>
        <v>0,0,0,0,0,0,0,0,0,0</v>
      </c>
      <c r="AY98" s="31"/>
      <c r="AZ98" s="9" t="str">
        <f t="shared" si="74"/>
        <v>1794 DATA 0,0,0,0,0,0,0,0,0,0</v>
      </c>
      <c r="BA98" s="31"/>
      <c r="BB98" s="33">
        <f t="shared" si="75"/>
        <v>8</v>
      </c>
      <c r="BC98" s="26">
        <f t="shared" si="76"/>
        <v>0</v>
      </c>
      <c r="BD98" s="26">
        <f t="shared" si="77"/>
        <v>0</v>
      </c>
      <c r="BE98" s="26">
        <f t="shared" si="78"/>
        <v>0</v>
      </c>
      <c r="BF98" s="26">
        <f t="shared" si="79"/>
        <v>0</v>
      </c>
      <c r="BG98" s="26">
        <f t="shared" si="80"/>
        <v>0</v>
      </c>
      <c r="BH98" s="26">
        <f t="shared" si="81"/>
        <v>0</v>
      </c>
      <c r="BI98" s="26">
        <f t="shared" si="82"/>
        <v>0</v>
      </c>
      <c r="BJ98" s="26">
        <f t="shared" si="83"/>
        <v>0</v>
      </c>
      <c r="BK98" s="34">
        <f t="shared" si="84"/>
        <v>8</v>
      </c>
      <c r="BL98" s="31"/>
      <c r="BM98">
        <f t="shared" si="88"/>
        <v>1795</v>
      </c>
      <c r="BN98" t="s">
        <v>5</v>
      </c>
      <c r="BO98" s="8" t="str">
        <f t="shared" si="85"/>
        <v>8,0,0,0,0,0,0,0,0,8</v>
      </c>
      <c r="BP98"/>
      <c r="BQ98" s="9" t="str">
        <f t="shared" si="86"/>
        <v>1795 DATA 8,0,0,0,0,0,0,0,0,8</v>
      </c>
    </row>
    <row r="99" spans="1:72">
      <c r="S99" s="4">
        <f t="shared" si="46"/>
        <v>0</v>
      </c>
      <c r="T99" s="7">
        <f t="shared" si="47"/>
        <v>0</v>
      </c>
      <c r="U99" s="7">
        <f t="shared" si="48"/>
        <v>0</v>
      </c>
      <c r="V99" s="7">
        <f t="shared" si="49"/>
        <v>0</v>
      </c>
      <c r="W99" s="7">
        <f t="shared" si="50"/>
        <v>0</v>
      </c>
      <c r="X99" s="7">
        <f t="shared" si="51"/>
        <v>0</v>
      </c>
      <c r="Y99" s="7">
        <f t="shared" si="52"/>
        <v>0</v>
      </c>
      <c r="Z99" s="7">
        <f t="shared" si="53"/>
        <v>0</v>
      </c>
      <c r="AA99" s="7">
        <f t="shared" si="54"/>
        <v>0</v>
      </c>
      <c r="AB99" s="6">
        <f t="shared" si="55"/>
        <v>0</v>
      </c>
      <c r="AC99" s="6">
        <f t="shared" si="56"/>
        <v>0</v>
      </c>
      <c r="AD99" s="6">
        <f t="shared" si="57"/>
        <v>0</v>
      </c>
      <c r="AE99" s="6">
        <f t="shared" si="58"/>
        <v>0</v>
      </c>
      <c r="AF99" s="6">
        <f t="shared" si="59"/>
        <v>0</v>
      </c>
      <c r="AG99" s="6">
        <f t="shared" si="60"/>
        <v>0</v>
      </c>
      <c r="AH99" s="6">
        <f t="shared" si="61"/>
        <v>0</v>
      </c>
      <c r="AI99" s="6">
        <f t="shared" si="62"/>
        <v>0</v>
      </c>
      <c r="AK99" s="33">
        <f t="shared" si="63"/>
        <v>0</v>
      </c>
      <c r="AL99" s="17">
        <f t="shared" si="64"/>
        <v>0</v>
      </c>
      <c r="AM99" s="17">
        <f t="shared" si="65"/>
        <v>0</v>
      </c>
      <c r="AN99" s="17">
        <f t="shared" si="66"/>
        <v>0</v>
      </c>
      <c r="AO99" s="17">
        <f t="shared" si="67"/>
        <v>0</v>
      </c>
      <c r="AP99" s="17">
        <f t="shared" si="68"/>
        <v>0</v>
      </c>
      <c r="AQ99" s="17">
        <f t="shared" si="69"/>
        <v>0</v>
      </c>
      <c r="AR99" s="17">
        <f t="shared" si="70"/>
        <v>0</v>
      </c>
      <c r="AS99" s="17">
        <f t="shared" si="71"/>
        <v>0</v>
      </c>
      <c r="AT99" s="34">
        <f t="shared" si="72"/>
        <v>0</v>
      </c>
      <c r="AU99" s="31"/>
      <c r="AV99">
        <f t="shared" si="87"/>
        <v>1796</v>
      </c>
      <c r="AW99" t="s">
        <v>5</v>
      </c>
      <c r="AX99" s="8" t="str">
        <f t="shared" si="73"/>
        <v>0,0,0,0,0,0,0,0,0,0</v>
      </c>
      <c r="AY99" s="31"/>
      <c r="AZ99" s="9" t="str">
        <f t="shared" si="74"/>
        <v>1796 DATA 0,0,0,0,0,0,0,0,0,0</v>
      </c>
      <c r="BA99" s="31"/>
      <c r="BB99" s="33">
        <f t="shared" si="75"/>
        <v>8</v>
      </c>
      <c r="BC99" s="26">
        <f t="shared" si="76"/>
        <v>0</v>
      </c>
      <c r="BD99" s="26">
        <f t="shared" si="77"/>
        <v>0</v>
      </c>
      <c r="BE99" s="26">
        <f t="shared" si="78"/>
        <v>0</v>
      </c>
      <c r="BF99" s="26">
        <f t="shared" si="79"/>
        <v>0</v>
      </c>
      <c r="BG99" s="26">
        <f t="shared" si="80"/>
        <v>0</v>
      </c>
      <c r="BH99" s="26">
        <f t="shared" si="81"/>
        <v>0</v>
      </c>
      <c r="BI99" s="26">
        <f t="shared" si="82"/>
        <v>0</v>
      </c>
      <c r="BJ99" s="26">
        <f t="shared" si="83"/>
        <v>0</v>
      </c>
      <c r="BK99" s="34">
        <f t="shared" si="84"/>
        <v>8</v>
      </c>
      <c r="BL99" s="31"/>
      <c r="BM99">
        <f t="shared" si="88"/>
        <v>1797</v>
      </c>
      <c r="BN99" t="s">
        <v>5</v>
      </c>
      <c r="BO99" s="8" t="str">
        <f t="shared" si="85"/>
        <v>8,0,0,0,0,0,0,0,0,8</v>
      </c>
      <c r="BP99"/>
      <c r="BQ99" s="9" t="str">
        <f t="shared" si="86"/>
        <v>1797 DATA 8,0,0,0,0,0,0,0,0,8</v>
      </c>
    </row>
    <row r="100" spans="1:72">
      <c r="S100" s="4">
        <f t="shared" si="46"/>
        <v>0</v>
      </c>
      <c r="T100" s="7">
        <f t="shared" si="47"/>
        <v>0</v>
      </c>
      <c r="U100" s="7">
        <f t="shared" si="48"/>
        <v>0</v>
      </c>
      <c r="V100" s="7">
        <f t="shared" si="49"/>
        <v>0</v>
      </c>
      <c r="W100" s="7">
        <f t="shared" si="50"/>
        <v>0</v>
      </c>
      <c r="X100" s="7">
        <f t="shared" si="51"/>
        <v>0</v>
      </c>
      <c r="Y100" s="7">
        <f t="shared" si="52"/>
        <v>0</v>
      </c>
      <c r="Z100" s="7">
        <f t="shared" si="53"/>
        <v>0</v>
      </c>
      <c r="AA100" s="7">
        <f t="shared" si="54"/>
        <v>0</v>
      </c>
      <c r="AB100" s="6">
        <f t="shared" si="55"/>
        <v>0</v>
      </c>
      <c r="AC100" s="6">
        <f t="shared" si="56"/>
        <v>0</v>
      </c>
      <c r="AD100" s="6">
        <f t="shared" si="57"/>
        <v>0</v>
      </c>
      <c r="AE100" s="6">
        <f t="shared" si="58"/>
        <v>0</v>
      </c>
      <c r="AF100" s="6">
        <f t="shared" si="59"/>
        <v>0</v>
      </c>
      <c r="AG100" s="6">
        <f t="shared" si="60"/>
        <v>0</v>
      </c>
      <c r="AH100" s="6">
        <f t="shared" si="61"/>
        <v>0</v>
      </c>
      <c r="AI100" s="6">
        <f t="shared" si="62"/>
        <v>0</v>
      </c>
      <c r="AK100" s="33">
        <f t="shared" si="63"/>
        <v>0</v>
      </c>
      <c r="AL100" s="17">
        <f t="shared" si="64"/>
        <v>0</v>
      </c>
      <c r="AM100" s="17">
        <f t="shared" si="65"/>
        <v>0</v>
      </c>
      <c r="AN100" s="17">
        <f t="shared" si="66"/>
        <v>0</v>
      </c>
      <c r="AO100" s="17">
        <f t="shared" si="67"/>
        <v>0</v>
      </c>
      <c r="AP100" s="17">
        <f t="shared" si="68"/>
        <v>0</v>
      </c>
      <c r="AQ100" s="17">
        <f t="shared" si="69"/>
        <v>0</v>
      </c>
      <c r="AR100" s="17">
        <f t="shared" si="70"/>
        <v>0</v>
      </c>
      <c r="AS100" s="17">
        <f t="shared" si="71"/>
        <v>0</v>
      </c>
      <c r="AT100" s="34">
        <f t="shared" si="72"/>
        <v>0</v>
      </c>
      <c r="AU100" s="31"/>
      <c r="AV100">
        <f t="shared" si="87"/>
        <v>1798</v>
      </c>
      <c r="AW100" t="s">
        <v>5</v>
      </c>
      <c r="AX100" s="8" t="str">
        <f t="shared" si="73"/>
        <v>0,0,0,0,0,0,0,0,0,0</v>
      </c>
      <c r="AY100" s="31"/>
      <c r="AZ100" s="9" t="str">
        <f t="shared" si="74"/>
        <v>1798 DATA 0,0,0,0,0,0,0,0,0,0</v>
      </c>
      <c r="BA100" s="31"/>
      <c r="BB100" s="33">
        <f t="shared" si="75"/>
        <v>8</v>
      </c>
      <c r="BC100" s="26">
        <f t="shared" si="76"/>
        <v>0</v>
      </c>
      <c r="BD100" s="26">
        <f t="shared" si="77"/>
        <v>0</v>
      </c>
      <c r="BE100" s="26">
        <f t="shared" si="78"/>
        <v>0</v>
      </c>
      <c r="BF100" s="26">
        <f t="shared" si="79"/>
        <v>0</v>
      </c>
      <c r="BG100" s="26">
        <f t="shared" si="80"/>
        <v>0</v>
      </c>
      <c r="BH100" s="26">
        <f t="shared" si="81"/>
        <v>0</v>
      </c>
      <c r="BI100" s="26">
        <f t="shared" si="82"/>
        <v>0</v>
      </c>
      <c r="BJ100" s="26">
        <f t="shared" si="83"/>
        <v>0</v>
      </c>
      <c r="BK100" s="34">
        <f t="shared" si="84"/>
        <v>8</v>
      </c>
      <c r="BL100" s="31"/>
      <c r="BM100">
        <f t="shared" si="88"/>
        <v>1799</v>
      </c>
      <c r="BN100" t="s">
        <v>5</v>
      </c>
      <c r="BO100" s="8" t="str">
        <f t="shared" si="85"/>
        <v>8,0,0,0,0,0,0,0,0,8</v>
      </c>
      <c r="BP100"/>
      <c r="BQ100" s="9" t="str">
        <f t="shared" si="86"/>
        <v>1799 DATA 8,0,0,0,0,0,0,0,0,8</v>
      </c>
    </row>
    <row r="110" spans="1:72">
      <c r="A110" s="1" t="s">
        <v>45</v>
      </c>
      <c r="S110" t="str">
        <f t="shared" ref="S110:AA110" si="89">A110</f>
        <v>=S1</v>
      </c>
      <c r="T110">
        <f t="shared" si="89"/>
        <v>0</v>
      </c>
      <c r="U110">
        <f t="shared" si="89"/>
        <v>0</v>
      </c>
      <c r="V110">
        <f t="shared" si="89"/>
        <v>0</v>
      </c>
      <c r="W110">
        <f t="shared" si="89"/>
        <v>0</v>
      </c>
      <c r="X110">
        <f t="shared" si="89"/>
        <v>0</v>
      </c>
      <c r="Y110">
        <f t="shared" si="89"/>
        <v>0</v>
      </c>
      <c r="Z110">
        <f t="shared" si="89"/>
        <v>0</v>
      </c>
      <c r="AA110">
        <f t="shared" si="89"/>
        <v>0</v>
      </c>
      <c r="AB110">
        <f>SUM(S110:AA110)</f>
        <v>0</v>
      </c>
      <c r="AD110" t="e">
        <f>S110+8</f>
        <v>#VALUE!</v>
      </c>
      <c r="AE110" s="2">
        <f t="shared" ref="AE110:AI110" si="90">J110</f>
        <v>0</v>
      </c>
      <c r="AF110" s="2">
        <f t="shared" si="90"/>
        <v>0</v>
      </c>
      <c r="AG110" s="2">
        <f t="shared" si="90"/>
        <v>0</v>
      </c>
      <c r="AH110" s="2">
        <f t="shared" si="90"/>
        <v>0</v>
      </c>
      <c r="AI110" s="2">
        <f t="shared" si="90"/>
        <v>0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 s="1" t="s">
        <v>46</v>
      </c>
    </row>
    <row r="112" spans="1:72">
      <c r="A112" s="1" t="s">
        <v>47</v>
      </c>
    </row>
    <row r="113" spans="1:1">
      <c r="A113" s="1" t="s">
        <v>48</v>
      </c>
    </row>
    <row r="114" spans="1:1">
      <c r="A114" s="1" t="s">
        <v>49</v>
      </c>
    </row>
    <row r="115" spans="1:1">
      <c r="A115" s="1" t="s">
        <v>50</v>
      </c>
    </row>
    <row r="116" spans="1:1">
      <c r="A116" s="1" t="s">
        <v>51</v>
      </c>
    </row>
    <row r="117" spans="1:1">
      <c r="A117" s="1" t="s">
        <v>52</v>
      </c>
    </row>
    <row r="118" spans="1:1">
      <c r="A118" s="1" t="s">
        <v>53</v>
      </c>
    </row>
    <row r="119" spans="1:1">
      <c r="A119" s="1" t="s">
        <v>54</v>
      </c>
    </row>
    <row r="120" spans="1:1">
      <c r="A120" s="1" t="s">
        <v>55</v>
      </c>
    </row>
    <row r="121" spans="1:1">
      <c r="A121" s="1" t="s">
        <v>56</v>
      </c>
    </row>
    <row r="122" spans="1:1">
      <c r="A122" s="1" t="s">
        <v>57</v>
      </c>
    </row>
    <row r="123" spans="1:1">
      <c r="A123" s="1" t="s">
        <v>58</v>
      </c>
    </row>
    <row r="124" spans="1:1">
      <c r="A124" s="1" t="s">
        <v>59</v>
      </c>
    </row>
    <row r="125" spans="1:1">
      <c r="A125" s="1" t="s">
        <v>60</v>
      </c>
    </row>
    <row r="126" spans="1:1">
      <c r="A126" s="1" t="s">
        <v>61</v>
      </c>
    </row>
    <row r="127" spans="1:1">
      <c r="A127" s="1" t="s">
        <v>62</v>
      </c>
    </row>
    <row r="128" spans="1:1">
      <c r="A128" s="1" t="s">
        <v>63</v>
      </c>
    </row>
    <row r="129" spans="1:1">
      <c r="A129" s="1" t="s">
        <v>64</v>
      </c>
    </row>
    <row r="130" spans="1:1">
      <c r="A130" s="1" t="s">
        <v>65</v>
      </c>
    </row>
    <row r="131" spans="1:1">
      <c r="A131" s="1" t="s">
        <v>66</v>
      </c>
    </row>
    <row r="132" spans="1:1">
      <c r="A132" s="1" t="s">
        <v>67</v>
      </c>
    </row>
    <row r="133" spans="1:1">
      <c r="A133" s="1" t="s">
        <v>68</v>
      </c>
    </row>
    <row r="134" spans="1:1">
      <c r="A134" s="1" t="s">
        <v>69</v>
      </c>
    </row>
    <row r="135" spans="1:1">
      <c r="A135" s="1" t="s">
        <v>70</v>
      </c>
    </row>
    <row r="136" spans="1:1">
      <c r="A136" s="1" t="s">
        <v>71</v>
      </c>
    </row>
    <row r="137" spans="1:1">
      <c r="A137" s="1" t="s">
        <v>72</v>
      </c>
    </row>
    <row r="138" spans="1:1">
      <c r="A138" s="1" t="s">
        <v>73</v>
      </c>
    </row>
    <row r="139" spans="1:1">
      <c r="A139" s="1" t="s">
        <v>74</v>
      </c>
    </row>
    <row r="140" spans="1:1">
      <c r="A140" s="1" t="s">
        <v>75</v>
      </c>
    </row>
    <row r="141" spans="1:1">
      <c r="A141" s="1" t="s">
        <v>76</v>
      </c>
    </row>
    <row r="142" spans="1:1">
      <c r="A142" s="1" t="s">
        <v>77</v>
      </c>
    </row>
    <row r="143" spans="1:1">
      <c r="A143" s="1" t="s">
        <v>78</v>
      </c>
    </row>
    <row r="144" spans="1:1">
      <c r="A144" s="1" t="s">
        <v>79</v>
      </c>
    </row>
    <row r="145" spans="1:1">
      <c r="A145" s="1" t="s">
        <v>80</v>
      </c>
    </row>
    <row r="146" spans="1:1">
      <c r="A146" s="1" t="s">
        <v>81</v>
      </c>
    </row>
    <row r="147" spans="1:1">
      <c r="A147" s="1" t="s">
        <v>82</v>
      </c>
    </row>
    <row r="148" spans="1:1">
      <c r="A148" s="1" t="s">
        <v>83</v>
      </c>
    </row>
    <row r="149" spans="1:1">
      <c r="A149" s="1" t="s">
        <v>84</v>
      </c>
    </row>
    <row r="150" spans="1:1">
      <c r="A150" s="1" t="s">
        <v>85</v>
      </c>
    </row>
    <row r="151" spans="1:1">
      <c r="A151" s="1" t="s">
        <v>86</v>
      </c>
    </row>
    <row r="152" spans="1:1">
      <c r="A152" s="1" t="s">
        <v>87</v>
      </c>
    </row>
    <row r="153" spans="1:1">
      <c r="A153" s="1" t="s">
        <v>88</v>
      </c>
    </row>
    <row r="154" spans="1:1">
      <c r="A154" s="1" t="s">
        <v>89</v>
      </c>
    </row>
    <row r="155" spans="1:1">
      <c r="A155" s="1" t="s">
        <v>90</v>
      </c>
    </row>
    <row r="156" spans="1:1">
      <c r="A156" s="1" t="s">
        <v>91</v>
      </c>
    </row>
    <row r="157" spans="1:1">
      <c r="A157" s="1" t="s">
        <v>92</v>
      </c>
    </row>
    <row r="158" spans="1:1">
      <c r="A158" s="1" t="s">
        <v>93</v>
      </c>
    </row>
    <row r="159" spans="1:1">
      <c r="A159" s="1" t="s">
        <v>94</v>
      </c>
    </row>
    <row r="160" spans="1:1">
      <c r="A160" s="1" t="s">
        <v>95</v>
      </c>
    </row>
    <row r="161" spans="1:1">
      <c r="A161" s="1" t="s">
        <v>96</v>
      </c>
    </row>
    <row r="162" spans="1:1">
      <c r="A162" s="1" t="s">
        <v>97</v>
      </c>
    </row>
    <row r="163" spans="1:1">
      <c r="A163" s="1" t="s">
        <v>98</v>
      </c>
    </row>
    <row r="164" spans="1:1">
      <c r="A164" s="1" t="s">
        <v>99</v>
      </c>
    </row>
    <row r="165" spans="1:1">
      <c r="A165" s="1" t="s">
        <v>100</v>
      </c>
    </row>
    <row r="166" spans="1:1">
      <c r="A166" s="1" t="s">
        <v>101</v>
      </c>
    </row>
    <row r="167" spans="1:1">
      <c r="A167" s="1" t="s">
        <v>102</v>
      </c>
    </row>
    <row r="168" spans="1:1">
      <c r="A168" s="1" t="s">
        <v>103</v>
      </c>
    </row>
    <row r="169" spans="1:1">
      <c r="A169" s="1" t="s">
        <v>104</v>
      </c>
    </row>
    <row r="170" spans="1:1">
      <c r="A170" s="1" t="s">
        <v>105</v>
      </c>
    </row>
    <row r="171" spans="1:1">
      <c r="A171" s="1" t="s">
        <v>106</v>
      </c>
    </row>
    <row r="172" spans="1:1">
      <c r="A172" s="1" t="s">
        <v>107</v>
      </c>
    </row>
    <row r="173" spans="1:1">
      <c r="A173" s="1" t="s">
        <v>108</v>
      </c>
    </row>
    <row r="174" spans="1:1">
      <c r="A174" s="1" t="s">
        <v>109</v>
      </c>
    </row>
    <row r="175" spans="1:1">
      <c r="A175" s="1" t="s">
        <v>110</v>
      </c>
    </row>
    <row r="176" spans="1:1">
      <c r="A176" s="1" t="s">
        <v>111</v>
      </c>
    </row>
    <row r="177" spans="1:1">
      <c r="A177" s="1" t="s">
        <v>112</v>
      </c>
    </row>
    <row r="178" spans="1:1">
      <c r="A178" s="1" t="s">
        <v>113</v>
      </c>
    </row>
    <row r="179" spans="1:1">
      <c r="A179" s="1" t="s">
        <v>114</v>
      </c>
    </row>
    <row r="180" spans="1:1">
      <c r="A180" s="1" t="s">
        <v>115</v>
      </c>
    </row>
    <row r="181" spans="1:1">
      <c r="A181" s="1" t="s">
        <v>116</v>
      </c>
    </row>
    <row r="182" spans="1:1">
      <c r="A182" s="1" t="s">
        <v>117</v>
      </c>
    </row>
    <row r="183" spans="1:1">
      <c r="A183" s="1" t="s">
        <v>118</v>
      </c>
    </row>
    <row r="184" spans="1:1">
      <c r="A184" s="1" t="s">
        <v>119</v>
      </c>
    </row>
    <row r="185" spans="1:1">
      <c r="A185" s="1" t="s">
        <v>120</v>
      </c>
    </row>
    <row r="186" spans="1:1">
      <c r="A186" s="1" t="s">
        <v>121</v>
      </c>
    </row>
    <row r="187" spans="1:1">
      <c r="A187" s="1" t="s">
        <v>122</v>
      </c>
    </row>
    <row r="188" spans="1:1">
      <c r="A188" s="1" t="s">
        <v>123</v>
      </c>
    </row>
    <row r="189" spans="1:1">
      <c r="A189" s="1" t="s">
        <v>124</v>
      </c>
    </row>
    <row r="190" spans="1:1">
      <c r="A190" s="1" t="s">
        <v>125</v>
      </c>
    </row>
    <row r="191" spans="1:1">
      <c r="A191" s="1" t="s">
        <v>126</v>
      </c>
    </row>
    <row r="192" spans="1:1">
      <c r="A192" s="1" t="s">
        <v>127</v>
      </c>
    </row>
    <row r="193" spans="1:1">
      <c r="A193" s="1" t="s">
        <v>128</v>
      </c>
    </row>
    <row r="194" spans="1:1">
      <c r="A194" s="1" t="s">
        <v>129</v>
      </c>
    </row>
    <row r="195" spans="1:1">
      <c r="A195" s="1" t="s">
        <v>130</v>
      </c>
    </row>
    <row r="196" spans="1:1">
      <c r="A196" s="1" t="s">
        <v>131</v>
      </c>
    </row>
    <row r="197" spans="1:1">
      <c r="A197" s="1" t="s">
        <v>132</v>
      </c>
    </row>
    <row r="198" spans="1:1">
      <c r="A198" s="1" t="s">
        <v>133</v>
      </c>
    </row>
    <row r="199" spans="1:1">
      <c r="A199" s="1" t="s">
        <v>134</v>
      </c>
    </row>
    <row r="200" spans="1:1">
      <c r="A200" s="1" t="s">
        <v>135</v>
      </c>
    </row>
    <row r="201" spans="1:1">
      <c r="A201" s="1" t="s">
        <v>136</v>
      </c>
    </row>
    <row r="202" spans="1:1">
      <c r="A202" s="1" t="s">
        <v>137</v>
      </c>
    </row>
    <row r="203" spans="1:1">
      <c r="A203" s="1" t="s">
        <v>138</v>
      </c>
    </row>
    <row r="204" spans="1:1">
      <c r="A204" s="1" t="s">
        <v>139</v>
      </c>
    </row>
    <row r="205" spans="1:1">
      <c r="A205" s="1" t="s">
        <v>140</v>
      </c>
    </row>
    <row r="206" spans="1:1">
      <c r="A206" s="1" t="s">
        <v>141</v>
      </c>
    </row>
    <row r="207" spans="1:1">
      <c r="A207" s="1" t="s">
        <v>142</v>
      </c>
    </row>
    <row r="208" spans="1:1">
      <c r="A208" s="1" t="s">
        <v>143</v>
      </c>
    </row>
    <row r="209" spans="1:2">
      <c r="A209" s="1" t="s">
        <v>54</v>
      </c>
      <c r="B209" s="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6"/>
  <sheetViews>
    <sheetView tabSelected="1" workbookViewId="0">
      <selection sqref="A1:A32"/>
    </sheetView>
  </sheetViews>
  <sheetFormatPr defaultRowHeight="15"/>
  <sheetData>
    <row r="1" spans="1:1">
      <c r="A1" s="31" t="s">
        <v>145</v>
      </c>
    </row>
    <row r="2" spans="1:1">
      <c r="A2" s="31" t="s">
        <v>161</v>
      </c>
    </row>
    <row r="3" spans="1:1">
      <c r="A3" s="31" t="s">
        <v>146</v>
      </c>
    </row>
    <row r="4" spans="1:1">
      <c r="A4" s="31" t="s">
        <v>162</v>
      </c>
    </row>
    <row r="5" spans="1:1">
      <c r="A5" s="31" t="s">
        <v>147</v>
      </c>
    </row>
    <row r="6" spans="1:1">
      <c r="A6" s="31" t="s">
        <v>163</v>
      </c>
    </row>
    <row r="7" spans="1:1">
      <c r="A7" s="31" t="s">
        <v>148</v>
      </c>
    </row>
    <row r="8" spans="1:1">
      <c r="A8" s="31" t="s">
        <v>164</v>
      </c>
    </row>
    <row r="9" spans="1:1">
      <c r="A9" s="31" t="s">
        <v>149</v>
      </c>
    </row>
    <row r="10" spans="1:1">
      <c r="A10" s="31" t="s">
        <v>165</v>
      </c>
    </row>
    <row r="11" spans="1:1">
      <c r="A11" s="31" t="s">
        <v>150</v>
      </c>
    </row>
    <row r="12" spans="1:1">
      <c r="A12" s="31" t="s">
        <v>166</v>
      </c>
    </row>
    <row r="13" spans="1:1">
      <c r="A13" s="31" t="s">
        <v>151</v>
      </c>
    </row>
    <row r="14" spans="1:1">
      <c r="A14" s="31" t="s">
        <v>167</v>
      </c>
    </row>
    <row r="15" spans="1:1">
      <c r="A15" s="31" t="s">
        <v>152</v>
      </c>
    </row>
    <row r="16" spans="1:1">
      <c r="A16" s="31" t="s">
        <v>168</v>
      </c>
    </row>
    <row r="17" spans="1:1">
      <c r="A17" s="31" t="s">
        <v>153</v>
      </c>
    </row>
    <row r="18" spans="1:1">
      <c r="A18" s="31" t="s">
        <v>169</v>
      </c>
    </row>
    <row r="19" spans="1:1">
      <c r="A19" s="31" t="s">
        <v>154</v>
      </c>
    </row>
    <row r="20" spans="1:1">
      <c r="A20" s="31" t="s">
        <v>170</v>
      </c>
    </row>
    <row r="21" spans="1:1">
      <c r="A21" s="31" t="s">
        <v>155</v>
      </c>
    </row>
    <row r="22" spans="1:1">
      <c r="A22" s="31" t="s">
        <v>171</v>
      </c>
    </row>
    <row r="23" spans="1:1">
      <c r="A23" s="31" t="s">
        <v>156</v>
      </c>
    </row>
    <row r="24" spans="1:1">
      <c r="A24" s="31" t="s">
        <v>172</v>
      </c>
    </row>
    <row r="25" spans="1:1">
      <c r="A25" s="31" t="s">
        <v>157</v>
      </c>
    </row>
    <row r="26" spans="1:1">
      <c r="A26" s="31" t="s">
        <v>173</v>
      </c>
    </row>
    <row r="27" spans="1:1">
      <c r="A27" s="31" t="s">
        <v>158</v>
      </c>
    </row>
    <row r="28" spans="1:1">
      <c r="A28" s="31" t="s">
        <v>174</v>
      </c>
    </row>
    <row r="29" spans="1:1">
      <c r="A29" s="31" t="s">
        <v>159</v>
      </c>
    </row>
    <row r="30" spans="1:1">
      <c r="A30" s="31" t="s">
        <v>175</v>
      </c>
    </row>
    <row r="31" spans="1:1">
      <c r="A31" s="31" t="s">
        <v>160</v>
      </c>
    </row>
    <row r="32" spans="1:1">
      <c r="A32" s="31" t="s">
        <v>176</v>
      </c>
    </row>
    <row r="33" spans="1:1">
      <c r="A33" s="31"/>
    </row>
    <row r="34" spans="1:1">
      <c r="A34" s="5"/>
    </row>
    <row r="35" spans="1:1">
      <c r="A35" s="31"/>
    </row>
    <row r="36" spans="1:1">
      <c r="A36" s="5"/>
    </row>
    <row r="37" spans="1:1">
      <c r="A37" s="31"/>
    </row>
    <row r="38" spans="1:1">
      <c r="A38" s="5"/>
    </row>
    <row r="39" spans="1:1">
      <c r="A39" s="31"/>
    </row>
    <row r="40" spans="1:1">
      <c r="A40" s="5"/>
    </row>
    <row r="41" spans="1:1">
      <c r="A41" s="31"/>
    </row>
    <row r="42" spans="1:1">
      <c r="A42" s="5"/>
    </row>
    <row r="43" spans="1:1">
      <c r="A43" s="31"/>
    </row>
    <row r="44" spans="1:1">
      <c r="A44" s="5"/>
    </row>
    <row r="45" spans="1:1">
      <c r="A45" s="31"/>
    </row>
    <row r="46" spans="1:1">
      <c r="A46" s="5"/>
    </row>
    <row r="47" spans="1:1">
      <c r="A47" s="31"/>
    </row>
    <row r="48" spans="1:1">
      <c r="A48" s="5"/>
    </row>
    <row r="49" spans="1:1">
      <c r="A49" s="31"/>
    </row>
    <row r="50" spans="1:1">
      <c r="A50" s="5"/>
    </row>
    <row r="51" spans="1:1">
      <c r="A51" s="31"/>
    </row>
    <row r="52" spans="1:1">
      <c r="A52" s="5"/>
    </row>
    <row r="53" spans="1:1">
      <c r="A53" s="31"/>
    </row>
    <row r="54" spans="1:1">
      <c r="A54" s="5"/>
    </row>
    <row r="55" spans="1:1">
      <c r="A55" s="31"/>
    </row>
    <row r="56" spans="1:1">
      <c r="A56" s="5"/>
    </row>
    <row r="57" spans="1:1">
      <c r="A57" s="31"/>
    </row>
    <row r="58" spans="1:1">
      <c r="A58" s="5"/>
    </row>
    <row r="59" spans="1:1">
      <c r="A59" s="31"/>
    </row>
    <row r="60" spans="1:1">
      <c r="A60" s="5"/>
    </row>
    <row r="61" spans="1:1">
      <c r="A61" s="31"/>
    </row>
    <row r="62" spans="1:1">
      <c r="A62" s="5"/>
    </row>
    <row r="63" spans="1:1">
      <c r="A63" s="31"/>
    </row>
    <row r="64" spans="1:1">
      <c r="A64" s="5"/>
    </row>
    <row r="65" spans="1:1">
      <c r="A65" s="31"/>
    </row>
    <row r="66" spans="1:1">
      <c r="A66" s="5"/>
    </row>
    <row r="67" spans="1:1">
      <c r="A67" s="31"/>
    </row>
    <row r="68" spans="1:1">
      <c r="A68" s="5"/>
    </row>
    <row r="69" spans="1:1">
      <c r="A69" s="31"/>
    </row>
    <row r="70" spans="1:1">
      <c r="A70" s="5"/>
    </row>
    <row r="71" spans="1:1">
      <c r="A71" s="31"/>
    </row>
    <row r="72" spans="1:1">
      <c r="A72" s="5"/>
    </row>
    <row r="73" spans="1:1">
      <c r="A73" s="31"/>
    </row>
    <row r="74" spans="1:1">
      <c r="A74" s="5"/>
    </row>
    <row r="75" spans="1:1">
      <c r="A75" s="31"/>
    </row>
    <row r="76" spans="1:1">
      <c r="A76" s="5"/>
    </row>
    <row r="77" spans="1:1">
      <c r="A77" s="31"/>
    </row>
    <row r="78" spans="1:1">
      <c r="A78" s="5"/>
    </row>
    <row r="79" spans="1:1">
      <c r="A79" s="31"/>
    </row>
    <row r="80" spans="1:1">
      <c r="A80" s="5"/>
    </row>
    <row r="81" spans="1:1">
      <c r="A81" s="31"/>
    </row>
    <row r="82" spans="1:1">
      <c r="A82" s="5"/>
    </row>
    <row r="83" spans="1:1">
      <c r="A83" s="31"/>
    </row>
    <row r="84" spans="1:1">
      <c r="A84" s="5"/>
    </row>
    <row r="85" spans="1:1">
      <c r="A85" s="31"/>
    </row>
    <row r="86" spans="1:1">
      <c r="A86" s="5"/>
    </row>
  </sheetData>
  <sortState ref="A1:B32">
    <sortCondition ref="A1:A3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2016-04-15T18:55:37Z</dcterms:modified>
</cp:coreProperties>
</file>