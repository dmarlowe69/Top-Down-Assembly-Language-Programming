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AT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BB5" l="1"/>
  <c r="BB7"/>
  <c r="BB9"/>
  <c r="BB11"/>
  <c r="BB13"/>
  <c r="BB15"/>
  <c r="BB17"/>
  <c r="BB19"/>
  <c r="BB21"/>
  <c r="BB23"/>
  <c r="BB25"/>
  <c r="BB27"/>
  <c r="BB29"/>
  <c r="BB31"/>
  <c r="BB33"/>
  <c r="BB35"/>
  <c r="BB37"/>
  <c r="BB39"/>
  <c r="BB41"/>
  <c r="BB43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K7"/>
  <c r="BO7" s="1"/>
  <c r="BQ7" s="1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K11"/>
  <c r="BO11" s="1"/>
  <c r="BQ11" s="1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K15"/>
  <c r="BO15" s="1"/>
  <c r="BQ15" s="1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K19"/>
  <c r="BO19" s="1"/>
  <c r="BQ19" s="1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K23"/>
  <c r="BO23" s="1"/>
  <c r="BQ23" s="1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K27"/>
  <c r="BO27" s="1"/>
  <c r="BQ27" s="1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K31"/>
  <c r="BO31" s="1"/>
  <c r="BQ31" s="1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K35"/>
  <c r="BO35" s="1"/>
  <c r="BQ35" s="1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K39"/>
  <c r="BO39" s="1"/>
  <c r="BQ39" s="1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K43"/>
  <c r="BO43" s="1"/>
  <c r="BQ43" s="1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B40"/>
  <c r="BB38"/>
  <c r="BB36"/>
  <c r="BB34"/>
  <c r="BB32"/>
  <c r="BB30"/>
  <c r="BB28"/>
  <c r="BB26"/>
  <c r="BB24"/>
  <c r="BB22"/>
  <c r="BB20"/>
  <c r="BB18"/>
  <c r="BB16"/>
  <c r="BB14"/>
  <c r="BB12"/>
  <c r="BB10"/>
  <c r="BB8"/>
  <c r="BB6"/>
  <c r="BB4"/>
  <c r="BB3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2"/>
  <c r="BO42" s="1"/>
  <c r="BQ42" s="1"/>
  <c r="BK40"/>
  <c r="BO40" s="1"/>
  <c r="BQ40" s="1"/>
  <c r="BK38"/>
  <c r="BO38" s="1"/>
  <c r="BQ38" s="1"/>
  <c r="BK36"/>
  <c r="BO36" s="1"/>
  <c r="BQ36" s="1"/>
  <c r="BK34"/>
  <c r="BO34" s="1"/>
  <c r="BQ34" s="1"/>
  <c r="BK32"/>
  <c r="BO32" s="1"/>
  <c r="BQ32" s="1"/>
  <c r="BK30"/>
  <c r="BO30" s="1"/>
  <c r="BQ30" s="1"/>
  <c r="BK28"/>
  <c r="BO28" s="1"/>
  <c r="BQ28" s="1"/>
  <c r="BK26"/>
  <c r="BO26" s="1"/>
  <c r="BQ26" s="1"/>
  <c r="BK24"/>
  <c r="BO24" s="1"/>
  <c r="BQ24" s="1"/>
  <c r="BK22"/>
  <c r="BO22" s="1"/>
  <c r="BQ22" s="1"/>
  <c r="BK20"/>
  <c r="BO20" s="1"/>
  <c r="BQ20" s="1"/>
  <c r="BK18"/>
  <c r="BO18" s="1"/>
  <c r="BQ18" s="1"/>
  <c r="BK16"/>
  <c r="BO16" s="1"/>
  <c r="BQ16" s="1"/>
  <c r="BK14"/>
  <c r="BO14" s="1"/>
  <c r="BQ14" s="1"/>
  <c r="BK12"/>
  <c r="BO12" s="1"/>
  <c r="BQ12" s="1"/>
  <c r="BK10"/>
  <c r="BO10" s="1"/>
  <c r="BQ10" s="1"/>
  <c r="BK8"/>
  <c r="BO8" s="1"/>
  <c r="BQ8" s="1"/>
  <c r="BK6"/>
  <c r="BO6" s="1"/>
  <c r="BQ6" s="1"/>
  <c r="BK4"/>
  <c r="BO4" s="1"/>
  <c r="BQ4" s="1"/>
  <c r="BK3"/>
  <c r="BO3" s="1"/>
  <c r="BQ3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<sst xmlns="http://schemas.openxmlformats.org/spreadsheetml/2006/main" count="463" uniqueCount="109">
  <si>
    <t>7F</t>
  </si>
  <si>
    <t>4E</t>
  </si>
  <si>
    <t>4C</t>
  </si>
  <si>
    <t>4D</t>
  </si>
  <si>
    <t>4F</t>
  </si>
  <si>
    <t>FF</t>
  </si>
  <si>
    <t>0A</t>
  </si>
  <si>
    <t>6D</t>
  </si>
  <si>
    <t>AC</t>
  </si>
  <si>
    <t>A9</t>
  </si>
  <si>
    <t>2E</t>
  </si>
  <si>
    <t>0E</t>
  </si>
  <si>
    <t>DATA</t>
  </si>
  <si>
    <t>C8</t>
  </si>
  <si>
    <t>F6</t>
  </si>
  <si>
    <t>E4</t>
  </si>
  <si>
    <t>0D</t>
  </si>
  <si>
    <t>E3</t>
  </si>
  <si>
    <t>AE</t>
  </si>
  <si>
    <t>A0</t>
  </si>
  <si>
    <t>AD</t>
  </si>
  <si>
    <t>AA</t>
  </si>
  <si>
    <t>CA</t>
  </si>
  <si>
    <t>8D</t>
  </si>
  <si>
    <t>E9</t>
  </si>
  <si>
    <t>D0</t>
  </si>
  <si>
    <t>CD</t>
  </si>
  <si>
    <t>C6</t>
  </si>
  <si>
    <t>C0</t>
  </si>
  <si>
    <t>F0</t>
  </si>
  <si>
    <t>B0</t>
  </si>
  <si>
    <t>37B0</t>
  </si>
  <si>
    <t>37C0</t>
  </si>
  <si>
    <t>37D0</t>
  </si>
  <si>
    <t>B9</t>
  </si>
  <si>
    <t>ED</t>
  </si>
  <si>
    <t>37E0</t>
  </si>
  <si>
    <t>8A</t>
  </si>
  <si>
    <t>B1</t>
  </si>
  <si>
    <t>37F0</t>
  </si>
  <si>
    <t>FB</t>
  </si>
  <si>
    <t>F9</t>
  </si>
  <si>
    <t>3800</t>
  </si>
  <si>
    <t>B3</t>
  </si>
  <si>
    <t>B2</t>
  </si>
  <si>
    <t>3810</t>
  </si>
  <si>
    <t>F7</t>
  </si>
  <si>
    <t>3820</t>
  </si>
  <si>
    <t>A4</t>
  </si>
  <si>
    <t>FD</t>
  </si>
  <si>
    <t>3830</t>
  </si>
  <si>
    <t>E6</t>
  </si>
  <si>
    <t>FC</t>
  </si>
  <si>
    <t>FE</t>
  </si>
  <si>
    <t>F2</t>
  </si>
  <si>
    <t>CC</t>
  </si>
  <si>
    <t>3840</t>
  </si>
  <si>
    <t>3850</t>
  </si>
  <si>
    <t>3860</t>
  </si>
  <si>
    <t>3870</t>
  </si>
  <si>
    <t>A5</t>
  </si>
  <si>
    <t>3880</t>
  </si>
  <si>
    <t>3890</t>
  </si>
  <si>
    <t>EC</t>
  </si>
  <si>
    <t>38A0</t>
  </si>
  <si>
    <t>38C0</t>
  </si>
  <si>
    <t>38D0</t>
  </si>
  <si>
    <t>38E0</t>
  </si>
  <si>
    <t>38B0</t>
  </si>
  <si>
    <t>1800 DATA 14256,0,0,0,0,32,8,52,32,14380</t>
  </si>
  <si>
    <t>1802 DATA 14272,32,32,77,79,86,69,32,84,14763</t>
  </si>
  <si>
    <t>1804 DATA 14288,32,227,53,32,185,56,174,85,15132</t>
  </si>
  <si>
    <t>1806 DATA 14304,141,176,55,176,2,202,56,138,15250</t>
  </si>
  <si>
    <t>1808 DATA 14320,169,0,96,160,3,185,251,0,15184</t>
  </si>
  <si>
    <t>1810 DATA 14336,205,179,55,144,64,208,24,173,15388</t>
  </si>
  <si>
    <t>1812 DATA 14352,14,160,0,104,153,251,0,200,15234</t>
  </si>
  <si>
    <t>1814 DATA 14368,164,56,160,0,174,177,55,240,15394</t>
  </si>
  <si>
    <t>1816 DATA 14384,230,252,230,254,202,208,242,136,16138</t>
  </si>
  <si>
    <t>1818 DATA 14400,208,246,76,17,56,173,177,55,15408</t>
  </si>
  <si>
    <t>1820 DATA 14416,56,233,255,176,1,136,170,132,15575</t>
  </si>
  <si>
    <t>1822 DATA 14432,144,1,200,152,109,83,53,133,15307</t>
  </si>
  <si>
    <t>1824 DATA 14448,144,2,230,254,165,254,109,179,15785</t>
  </si>
  <si>
    <t>1826 DATA 14464,177,251,145,253,136,208,249,177,16060</t>
  </si>
  <si>
    <t>1828 DATA 14480,208,236,32,164,56,172,176,55,15579</t>
  </si>
  <si>
    <t>1830 DATA 14496,247,76,17,56,173,82,53,133,15333</t>
  </si>
  <si>
    <t>1832 DATA 14512,55,133,253,173,179,55,133,254,15747</t>
  </si>
  <si>
    <t>1834 DATA 14528,13,10,83,69,84,32,68,69,14956</t>
  </si>
  <si>
    <t>1836 DATA 14544,78,32,65,78,68,32,80,82,15059</t>
  </si>
  <si>
    <t>1838 DATA 14560,7,50,173,5,50,141,178,55,15219</t>
  </si>
  <si>
    <t>1801 DATA 14264,228,52,127,13,10,32,32,32,14790</t>
  </si>
  <si>
    <t>1803 DATA 14280,79,79,76,46,13,10,10,255,14848</t>
  </si>
  <si>
    <t>1805 DATA 14296,53,56,173,84,53,237,82,53,15087</t>
  </si>
  <si>
    <t>1807 DATA 14312,237,83,53,141,177,55,176,3,15237</t>
  </si>
  <si>
    <t>1809 DATA 14328,72,136,16,249,56,173,83,53,15166</t>
  </si>
  <si>
    <t>1811 DATA 14344,82,53,205,178,55,144,54,208,15323</t>
  </si>
  <si>
    <t>1813 DATA 14360,192,4,208,247,169,255,96,32,15563</t>
  </si>
  <si>
    <t>1815 DATA 14376,14,177,251,145,253,200,208,249,15873</t>
  </si>
  <si>
    <t>1817 DATA 14392,200,177,251,145,253,204,176,55,15853</t>
  </si>
  <si>
    <t>1819 DATA 14408,240,72,172,177,55,173,176,55,15528</t>
  </si>
  <si>
    <t>1821 DATA 14424,254,138,24,109,82,53,133,251,15468</t>
  </si>
  <si>
    <t>1823 DATA 14440,252,138,24,109,178,55,133,253,15582</t>
  </si>
  <si>
    <t>1825 DATA 14456,55,133,254,174,177,55,160,255,15719</t>
  </si>
  <si>
    <t>1827 DATA 14472,251,145,253,198,252,198,254,202,16225</t>
  </si>
  <si>
    <t>1829 DATA 14488,177,251,145,253,136,192,255,208,16105</t>
  </si>
  <si>
    <t>1831 DATA 14504,251,173,83,53,133,252,173,178,15800</t>
  </si>
  <si>
    <t>1833 DATA 14520,96,32,8,52,32,228,52,127,15147</t>
  </si>
  <si>
    <t>1835 DATA 14536,83,84,73,78,65,84,73,79,15155</t>
  </si>
  <si>
    <t>1837 DATA 14552,69,83,83,32,81,46,255,32,15233</t>
  </si>
  <si>
    <t>1839 DATA 14568,173,6,50,141,179,55,96,0,15268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</si>
</sst>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topLeftCell="BA1" workbookViewId="0">
      <selection activeCell="BJ21" sqref="BJ21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31</v>
      </c>
      <c r="B1" s="3">
        <v>0</v>
      </c>
      <c r="C1" s="3">
        <v>0</v>
      </c>
      <c r="D1" s="3">
        <v>0</v>
      </c>
      <c r="E1" s="3">
        <v>0</v>
      </c>
      <c r="F1" s="3">
        <v>20</v>
      </c>
      <c r="G1" s="3">
        <v>8</v>
      </c>
      <c r="H1" s="3">
        <v>34</v>
      </c>
      <c r="I1" s="3">
        <v>20</v>
      </c>
      <c r="J1" s="3" t="s">
        <v>15</v>
      </c>
      <c r="K1" s="3">
        <v>34</v>
      </c>
      <c r="L1" s="3" t="s">
        <v>0</v>
      </c>
      <c r="M1" s="3" t="s">
        <v>16</v>
      </c>
      <c r="N1" s="3" t="s">
        <v>6</v>
      </c>
      <c r="O1" s="3">
        <v>20</v>
      </c>
      <c r="P1" s="3">
        <v>20</v>
      </c>
      <c r="Q1" s="3">
        <v>20</v>
      </c>
      <c r="S1" s="10">
        <f>HEX2DEC(A1)</f>
        <v>14256</v>
      </c>
      <c r="T1" s="13">
        <f t="shared" ref="T1:T43" si="0">HEX2DEC(B1)</f>
        <v>0</v>
      </c>
      <c r="U1" s="14">
        <f t="shared" ref="U1:U43" si="1">HEX2DEC(C1)</f>
        <v>0</v>
      </c>
      <c r="V1" s="14">
        <f t="shared" ref="V1:V43" si="2">HEX2DEC(D1)</f>
        <v>0</v>
      </c>
      <c r="W1" s="14">
        <f t="shared" ref="W1:W43" si="3">HEX2DEC(E1)</f>
        <v>0</v>
      </c>
      <c r="X1" s="14">
        <f t="shared" ref="X1:X43" si="4">HEX2DEC(F1)</f>
        <v>32</v>
      </c>
      <c r="Y1" s="14">
        <f t="shared" ref="Y1:Y43" si="5">HEX2DEC(G1)</f>
        <v>8</v>
      </c>
      <c r="Z1" s="14">
        <f t="shared" ref="Z1:Z43" si="6">HEX2DEC(H1)</f>
        <v>52</v>
      </c>
      <c r="AA1" s="15">
        <f t="shared" ref="AA1:AA43" si="7">HEX2DEC(I1)</f>
        <v>32</v>
      </c>
      <c r="AB1" s="22">
        <f t="shared" ref="AB1:AB43" si="8">HEX2DEC(J1)</f>
        <v>228</v>
      </c>
      <c r="AC1" s="23">
        <f t="shared" ref="AC1:AC43" si="9">HEX2DEC(K1)</f>
        <v>52</v>
      </c>
      <c r="AD1" s="23">
        <f t="shared" ref="AD1:AD43" si="10">HEX2DEC(L1)</f>
        <v>127</v>
      </c>
      <c r="AE1" s="23">
        <f t="shared" ref="AE1:AE43" si="11">HEX2DEC(M1)</f>
        <v>13</v>
      </c>
      <c r="AF1" s="23">
        <f t="shared" ref="AF1:AF43" si="12">HEX2DEC(N1)</f>
        <v>10</v>
      </c>
      <c r="AG1" s="23">
        <f t="shared" ref="AG1:AG43" si="13">HEX2DEC(O1)</f>
        <v>32</v>
      </c>
      <c r="AH1" s="23">
        <f t="shared" ref="AH1:AH43" si="14">HEX2DEC(P1)</f>
        <v>32</v>
      </c>
      <c r="AI1" s="24">
        <f t="shared" ref="AI1:AI43" si="15">HEX2DEC(Q1)</f>
        <v>32</v>
      </c>
      <c r="AJ1" s="31"/>
      <c r="AK1" s="33">
        <f t="shared" ref="AK1:AS1" si="16">S1</f>
        <v>14256</v>
      </c>
      <c r="AL1" s="17">
        <f t="shared" si="16"/>
        <v>0</v>
      </c>
      <c r="AM1" s="17">
        <f t="shared" si="16"/>
        <v>0</v>
      </c>
      <c r="AN1" s="17">
        <f t="shared" si="16"/>
        <v>0</v>
      </c>
      <c r="AO1" s="17">
        <f t="shared" si="16"/>
        <v>0</v>
      </c>
      <c r="AP1" s="17">
        <f t="shared" si="16"/>
        <v>32</v>
      </c>
      <c r="AQ1" s="17">
        <f t="shared" si="16"/>
        <v>8</v>
      </c>
      <c r="AR1" s="17">
        <f t="shared" si="16"/>
        <v>52</v>
      </c>
      <c r="AS1" s="17">
        <f t="shared" si="16"/>
        <v>32</v>
      </c>
      <c r="AT1" s="34">
        <f>SUM(AK1:AS1)</f>
        <v>14380</v>
      </c>
      <c r="AU1" s="31"/>
      <c r="AV1">
        <v>1800</v>
      </c>
      <c r="AW1" t="s">
        <v>12</v>
      </c>
      <c r="AX1" s="8" t="str">
        <f>AK1&amp;","&amp;AL1&amp;","&amp;AM1&amp;","&amp;AN1&amp;","&amp;AO1&amp;","&amp;AP1&amp;","&amp;AQ1&amp;","&amp;AR1&amp;","&amp;AS1&amp;","&amp;AT1</f>
        <v>14256,0,0,0,0,32,8,52,32,14380</v>
      </c>
      <c r="AY1" s="31"/>
      <c r="AZ1" s="9" t="str">
        <f>AV1&amp;" "&amp;AW1&amp;" "&amp;AX1</f>
        <v>1800 DATA 14256,0,0,0,0,32,8,52,32,14380</v>
      </c>
      <c r="BA1" s="31"/>
      <c r="BB1" s="33">
        <f>AK1+8</f>
        <v>14264</v>
      </c>
      <c r="BC1" s="26">
        <f t="shared" ref="BC1:BJ1" si="17">AB1</f>
        <v>228</v>
      </c>
      <c r="BD1" s="26">
        <f t="shared" si="17"/>
        <v>52</v>
      </c>
      <c r="BE1" s="26">
        <f t="shared" si="17"/>
        <v>127</v>
      </c>
      <c r="BF1" s="26">
        <f t="shared" si="17"/>
        <v>13</v>
      </c>
      <c r="BG1" s="26">
        <f t="shared" si="17"/>
        <v>10</v>
      </c>
      <c r="BH1" s="26">
        <f t="shared" si="17"/>
        <v>32</v>
      </c>
      <c r="BI1" s="26">
        <f t="shared" si="17"/>
        <v>32</v>
      </c>
      <c r="BJ1" s="26">
        <f t="shared" si="17"/>
        <v>32</v>
      </c>
      <c r="BK1" s="34">
        <f>SUM(BB1:BJ1)</f>
        <v>14790</v>
      </c>
      <c r="BL1" s="31"/>
      <c r="BM1">
        <f>AV1+1</f>
        <v>1801</v>
      </c>
      <c r="BN1" t="s">
        <v>12</v>
      </c>
      <c r="BO1" s="8" t="str">
        <f>BB1&amp;","&amp;BC1&amp;","&amp;BD1&amp;","&amp;BE1&amp;","&amp;BF1&amp;","&amp;BG1&amp;","&amp;BH1&amp;","&amp;BI1&amp;","&amp;BJ1&amp;","&amp;BK1</f>
        <v>14264,228,52,127,13,10,32,32,32,14790</v>
      </c>
      <c r="BP1"/>
      <c r="BQ1" s="9" t="str">
        <f>BM1&amp;" "&amp;BN1&amp;" "&amp;BO1</f>
        <v>1801 DATA 14264,228,52,127,13,10,32,32,32,14790</v>
      </c>
      <c r="BR1" s="31"/>
      <c r="BS1" s="31"/>
      <c r="BT1" s="9" t="s">
        <v>69</v>
      </c>
    </row>
    <row r="2" spans="1:72">
      <c r="A2" s="1" t="s">
        <v>32</v>
      </c>
      <c r="B2" s="3">
        <v>20</v>
      </c>
      <c r="C2" s="3">
        <v>20</v>
      </c>
      <c r="D2" s="3" t="s">
        <v>3</v>
      </c>
      <c r="E2" s="3" t="s">
        <v>4</v>
      </c>
      <c r="F2" s="3">
        <v>56</v>
      </c>
      <c r="G2" s="3">
        <v>45</v>
      </c>
      <c r="H2" s="3">
        <v>20</v>
      </c>
      <c r="I2" s="3">
        <v>54</v>
      </c>
      <c r="J2" s="3" t="s">
        <v>4</v>
      </c>
      <c r="K2" s="3" t="s">
        <v>4</v>
      </c>
      <c r="L2" s="3" t="s">
        <v>2</v>
      </c>
      <c r="M2" s="3" t="s">
        <v>10</v>
      </c>
      <c r="N2" s="3" t="s">
        <v>16</v>
      </c>
      <c r="O2" s="3" t="s">
        <v>6</v>
      </c>
      <c r="P2" s="3" t="s">
        <v>6</v>
      </c>
      <c r="Q2" s="3" t="s">
        <v>5</v>
      </c>
      <c r="S2" s="11">
        <f t="shared" ref="S2:S43" si="18">HEX2DEC(A2)</f>
        <v>14272</v>
      </c>
      <c r="T2" s="16">
        <f t="shared" si="0"/>
        <v>32</v>
      </c>
      <c r="U2" s="17">
        <f t="shared" si="1"/>
        <v>32</v>
      </c>
      <c r="V2" s="17">
        <f t="shared" si="2"/>
        <v>77</v>
      </c>
      <c r="W2" s="17">
        <f t="shared" si="3"/>
        <v>79</v>
      </c>
      <c r="X2" s="17">
        <f t="shared" si="4"/>
        <v>86</v>
      </c>
      <c r="Y2" s="17">
        <f t="shared" si="5"/>
        <v>69</v>
      </c>
      <c r="Z2" s="17">
        <f t="shared" si="6"/>
        <v>32</v>
      </c>
      <c r="AA2" s="18">
        <f t="shared" si="7"/>
        <v>84</v>
      </c>
      <c r="AB2" s="25">
        <f t="shared" si="8"/>
        <v>79</v>
      </c>
      <c r="AC2" s="26">
        <f t="shared" si="9"/>
        <v>79</v>
      </c>
      <c r="AD2" s="26">
        <f t="shared" si="10"/>
        <v>76</v>
      </c>
      <c r="AE2" s="26">
        <f t="shared" si="11"/>
        <v>46</v>
      </c>
      <c r="AF2" s="26">
        <f t="shared" si="12"/>
        <v>13</v>
      </c>
      <c r="AG2" s="26">
        <f t="shared" si="13"/>
        <v>10</v>
      </c>
      <c r="AH2" s="26">
        <f t="shared" si="14"/>
        <v>10</v>
      </c>
      <c r="AI2" s="27">
        <f t="shared" si="15"/>
        <v>255</v>
      </c>
      <c r="AJ2" s="31"/>
      <c r="AK2" s="33">
        <f t="shared" ref="AK2:AK65" si="19">S2</f>
        <v>14272</v>
      </c>
      <c r="AL2" s="17">
        <f t="shared" ref="AL2:AL65" si="20">T2</f>
        <v>32</v>
      </c>
      <c r="AM2" s="17">
        <f t="shared" ref="AM2:AM65" si="21">U2</f>
        <v>32</v>
      </c>
      <c r="AN2" s="17">
        <f t="shared" ref="AN2:AN65" si="22">V2</f>
        <v>77</v>
      </c>
      <c r="AO2" s="17">
        <f t="shared" ref="AO2:AO65" si="23">W2</f>
        <v>79</v>
      </c>
      <c r="AP2" s="17">
        <f t="shared" ref="AP2:AP65" si="24">X2</f>
        <v>86</v>
      </c>
      <c r="AQ2" s="17">
        <f t="shared" ref="AQ2:AQ65" si="25">Y2</f>
        <v>69</v>
      </c>
      <c r="AR2" s="17">
        <f t="shared" ref="AR2:AR65" si="26">Z2</f>
        <v>32</v>
      </c>
      <c r="AS2" s="17">
        <f t="shared" ref="AS2:AS65" si="27">AA2</f>
        <v>84</v>
      </c>
      <c r="AT2" s="34">
        <f t="shared" ref="AT2:AT65" si="28">SUM(AK2:AS2)</f>
        <v>14763</v>
      </c>
      <c r="AU2" s="31"/>
      <c r="AV2">
        <f>AV1+2</f>
        <v>1802</v>
      </c>
      <c r="AW2" t="s">
        <v>12</v>
      </c>
      <c r="AX2" s="8" t="str">
        <f t="shared" ref="AX2:AX65" si="29">AK2&amp;","&amp;AL2&amp;","&amp;AM2&amp;","&amp;AN2&amp;","&amp;AO2&amp;","&amp;AP2&amp;","&amp;AQ2&amp;","&amp;AR2&amp;","&amp;AS2&amp;","&amp;AT2</f>
        <v>14272,32,32,77,79,86,69,32,84,14763</v>
      </c>
      <c r="AY2" s="31"/>
      <c r="AZ2" s="9" t="str">
        <f t="shared" ref="AZ2:AZ65" si="30">AV2&amp;" "&amp;AW2&amp;" "&amp;AX2</f>
        <v>1802 DATA 14272,32,32,77,79,86,69,32,84,14763</v>
      </c>
      <c r="BA2" s="31"/>
      <c r="BB2" s="33">
        <f t="shared" ref="BB2:BB65" si="31">AK2+8</f>
        <v>14280</v>
      </c>
      <c r="BC2" s="26">
        <f t="shared" ref="BC2:BC65" si="32">AB2</f>
        <v>79</v>
      </c>
      <c r="BD2" s="26">
        <f t="shared" ref="BD2:BD65" si="33">AC2</f>
        <v>79</v>
      </c>
      <c r="BE2" s="26">
        <f t="shared" ref="BE2:BE65" si="34">AD2</f>
        <v>76</v>
      </c>
      <c r="BF2" s="26">
        <f t="shared" ref="BF2:BF65" si="35">AE2</f>
        <v>46</v>
      </c>
      <c r="BG2" s="26">
        <f t="shared" ref="BG2:BG65" si="36">AF2</f>
        <v>13</v>
      </c>
      <c r="BH2" s="26">
        <f t="shared" ref="BH2:BH65" si="37">AG2</f>
        <v>10</v>
      </c>
      <c r="BI2" s="26">
        <f t="shared" ref="BI2:BI65" si="38">AH2</f>
        <v>10</v>
      </c>
      <c r="BJ2" s="26">
        <f t="shared" ref="BJ2:BJ65" si="39">AI2</f>
        <v>255</v>
      </c>
      <c r="BK2" s="34">
        <f t="shared" ref="BK2:BK65" si="40">SUM(BB2:BJ2)</f>
        <v>14848</v>
      </c>
      <c r="BL2" s="31"/>
      <c r="BM2">
        <f>BM1+2</f>
        <v>1803</v>
      </c>
      <c r="BN2" t="s">
        <v>12</v>
      </c>
      <c r="BO2" s="8" t="str">
        <f t="shared" ref="BO2:BO65" si="41">BB2&amp;","&amp;BC2&amp;","&amp;BD2&amp;","&amp;BE2&amp;","&amp;BF2&amp;","&amp;BG2&amp;","&amp;BH2&amp;","&amp;BI2&amp;","&amp;BJ2&amp;","&amp;BK2</f>
        <v>14280,79,79,76,46,13,10,10,255,14848</v>
      </c>
      <c r="BP2"/>
      <c r="BQ2" s="9" t="str">
        <f t="shared" ref="BQ2:BQ65" si="42">BM2&amp;" "&amp;BN2&amp;" "&amp;BO2</f>
        <v>1803 DATA 14280,79,79,76,46,13,10,10,255,14848</v>
      </c>
      <c r="BR2" s="31"/>
      <c r="BS2" s="31"/>
      <c r="BT2" s="9" t="s">
        <v>70</v>
      </c>
    </row>
    <row r="3" spans="1:72">
      <c r="A3" s="1" t="s">
        <v>33</v>
      </c>
      <c r="B3" s="3">
        <v>20</v>
      </c>
      <c r="C3" s="3" t="s">
        <v>17</v>
      </c>
      <c r="D3" s="3">
        <v>35</v>
      </c>
      <c r="E3" s="3">
        <v>20</v>
      </c>
      <c r="F3" s="3" t="s">
        <v>34</v>
      </c>
      <c r="G3" s="3">
        <v>38</v>
      </c>
      <c r="H3" s="3" t="s">
        <v>18</v>
      </c>
      <c r="I3" s="3">
        <v>55</v>
      </c>
      <c r="J3" s="3">
        <v>35</v>
      </c>
      <c r="K3" s="3">
        <v>38</v>
      </c>
      <c r="L3" s="3" t="s">
        <v>20</v>
      </c>
      <c r="M3" s="3">
        <v>54</v>
      </c>
      <c r="N3" s="3">
        <v>35</v>
      </c>
      <c r="O3" s="3" t="s">
        <v>35</v>
      </c>
      <c r="P3" s="3">
        <v>52</v>
      </c>
      <c r="Q3" s="3">
        <v>35</v>
      </c>
      <c r="S3" s="11">
        <f t="shared" si="18"/>
        <v>14288</v>
      </c>
      <c r="T3" s="16">
        <f t="shared" si="0"/>
        <v>32</v>
      </c>
      <c r="U3" s="17">
        <f t="shared" si="1"/>
        <v>227</v>
      </c>
      <c r="V3" s="17">
        <f t="shared" si="2"/>
        <v>53</v>
      </c>
      <c r="W3" s="17">
        <f t="shared" si="3"/>
        <v>32</v>
      </c>
      <c r="X3" s="17">
        <f t="shared" si="4"/>
        <v>185</v>
      </c>
      <c r="Y3" s="17">
        <f t="shared" si="5"/>
        <v>56</v>
      </c>
      <c r="Z3" s="17">
        <f t="shared" si="6"/>
        <v>174</v>
      </c>
      <c r="AA3" s="18">
        <f t="shared" si="7"/>
        <v>85</v>
      </c>
      <c r="AB3" s="25">
        <f t="shared" si="8"/>
        <v>53</v>
      </c>
      <c r="AC3" s="26">
        <f t="shared" si="9"/>
        <v>56</v>
      </c>
      <c r="AD3" s="26">
        <f t="shared" si="10"/>
        <v>173</v>
      </c>
      <c r="AE3" s="26">
        <f t="shared" si="11"/>
        <v>84</v>
      </c>
      <c r="AF3" s="26">
        <f t="shared" si="12"/>
        <v>53</v>
      </c>
      <c r="AG3" s="26">
        <f t="shared" si="13"/>
        <v>237</v>
      </c>
      <c r="AH3" s="26">
        <f t="shared" si="14"/>
        <v>82</v>
      </c>
      <c r="AI3" s="27">
        <f t="shared" si="15"/>
        <v>53</v>
      </c>
      <c r="AJ3" s="31"/>
      <c r="AK3" s="33">
        <f t="shared" si="19"/>
        <v>14288</v>
      </c>
      <c r="AL3" s="17">
        <f t="shared" si="20"/>
        <v>32</v>
      </c>
      <c r="AM3" s="17">
        <f t="shared" si="21"/>
        <v>227</v>
      </c>
      <c r="AN3" s="17">
        <f t="shared" si="22"/>
        <v>53</v>
      </c>
      <c r="AO3" s="17">
        <f t="shared" si="23"/>
        <v>32</v>
      </c>
      <c r="AP3" s="17">
        <f t="shared" si="24"/>
        <v>185</v>
      </c>
      <c r="AQ3" s="17">
        <f t="shared" si="25"/>
        <v>56</v>
      </c>
      <c r="AR3" s="17">
        <f t="shared" si="26"/>
        <v>174</v>
      </c>
      <c r="AS3" s="17">
        <f t="shared" si="27"/>
        <v>85</v>
      </c>
      <c r="AT3" s="34">
        <f t="shared" si="28"/>
        <v>15132</v>
      </c>
      <c r="AU3" s="31"/>
      <c r="AV3">
        <f t="shared" ref="AV3:AV66" si="43">AV2+2</f>
        <v>1804</v>
      </c>
      <c r="AW3" t="s">
        <v>12</v>
      </c>
      <c r="AX3" s="8" t="str">
        <f t="shared" si="29"/>
        <v>14288,32,227,53,32,185,56,174,85,15132</v>
      </c>
      <c r="AY3" s="31"/>
      <c r="AZ3" s="9" t="str">
        <f t="shared" si="30"/>
        <v>1804 DATA 14288,32,227,53,32,185,56,174,85,15132</v>
      </c>
      <c r="BA3" s="31"/>
      <c r="BB3" s="33">
        <f t="shared" si="31"/>
        <v>14296</v>
      </c>
      <c r="BC3" s="26">
        <f t="shared" si="32"/>
        <v>53</v>
      </c>
      <c r="BD3" s="26">
        <f t="shared" si="33"/>
        <v>56</v>
      </c>
      <c r="BE3" s="26">
        <f t="shared" si="34"/>
        <v>173</v>
      </c>
      <c r="BF3" s="26">
        <f t="shared" si="35"/>
        <v>84</v>
      </c>
      <c r="BG3" s="26">
        <f t="shared" si="36"/>
        <v>53</v>
      </c>
      <c r="BH3" s="26">
        <f t="shared" si="37"/>
        <v>237</v>
      </c>
      <c r="BI3" s="26">
        <f t="shared" si="38"/>
        <v>82</v>
      </c>
      <c r="BJ3" s="26">
        <f t="shared" si="39"/>
        <v>53</v>
      </c>
      <c r="BK3" s="34">
        <f t="shared" si="40"/>
        <v>15087</v>
      </c>
      <c r="BL3" s="31"/>
      <c r="BM3">
        <f t="shared" ref="BM3:BM66" si="44">BM2+2</f>
        <v>1805</v>
      </c>
      <c r="BN3" t="s">
        <v>12</v>
      </c>
      <c r="BO3" s="8" t="str">
        <f t="shared" si="41"/>
        <v>14296,53,56,173,84,53,237,82,53,15087</v>
      </c>
      <c r="BP3"/>
      <c r="BQ3" s="9" t="str">
        <f t="shared" si="42"/>
        <v>1805 DATA 14296,53,56,173,84,53,237,82,53,15087</v>
      </c>
      <c r="BR3" s="31"/>
      <c r="BS3" s="31"/>
      <c r="BT3" s="9" t="s">
        <v>71</v>
      </c>
    </row>
    <row r="4" spans="1:72">
      <c r="A4" s="1" t="s">
        <v>36</v>
      </c>
      <c r="B4" s="3" t="s">
        <v>23</v>
      </c>
      <c r="C4" s="3" t="s">
        <v>30</v>
      </c>
      <c r="D4" s="3">
        <v>37</v>
      </c>
      <c r="E4" s="3" t="s">
        <v>30</v>
      </c>
      <c r="F4" s="3">
        <v>2</v>
      </c>
      <c r="G4" s="3" t="s">
        <v>22</v>
      </c>
      <c r="H4" s="3">
        <v>38</v>
      </c>
      <c r="I4" s="3" t="s">
        <v>37</v>
      </c>
      <c r="J4" s="3" t="s">
        <v>35</v>
      </c>
      <c r="K4" s="3">
        <v>53</v>
      </c>
      <c r="L4" s="3">
        <v>35</v>
      </c>
      <c r="M4" s="3" t="s">
        <v>23</v>
      </c>
      <c r="N4" s="3" t="s">
        <v>38</v>
      </c>
      <c r="O4" s="3">
        <v>37</v>
      </c>
      <c r="P4" s="3" t="s">
        <v>30</v>
      </c>
      <c r="Q4" s="3">
        <v>3</v>
      </c>
      <c r="S4" s="11">
        <f t="shared" si="18"/>
        <v>14304</v>
      </c>
      <c r="T4" s="16">
        <f t="shared" si="0"/>
        <v>141</v>
      </c>
      <c r="U4" s="17">
        <f t="shared" si="1"/>
        <v>176</v>
      </c>
      <c r="V4" s="17">
        <f t="shared" si="2"/>
        <v>55</v>
      </c>
      <c r="W4" s="17">
        <f t="shared" si="3"/>
        <v>176</v>
      </c>
      <c r="X4" s="17">
        <f t="shared" si="4"/>
        <v>2</v>
      </c>
      <c r="Y4" s="17">
        <f t="shared" si="5"/>
        <v>202</v>
      </c>
      <c r="Z4" s="17">
        <f t="shared" si="6"/>
        <v>56</v>
      </c>
      <c r="AA4" s="18">
        <f t="shared" si="7"/>
        <v>138</v>
      </c>
      <c r="AB4" s="25">
        <f t="shared" si="8"/>
        <v>237</v>
      </c>
      <c r="AC4" s="26">
        <f t="shared" si="9"/>
        <v>83</v>
      </c>
      <c r="AD4" s="26">
        <f t="shared" si="10"/>
        <v>53</v>
      </c>
      <c r="AE4" s="26">
        <f t="shared" si="11"/>
        <v>141</v>
      </c>
      <c r="AF4" s="26">
        <f t="shared" si="12"/>
        <v>177</v>
      </c>
      <c r="AG4" s="26">
        <f t="shared" si="13"/>
        <v>55</v>
      </c>
      <c r="AH4" s="26">
        <f t="shared" si="14"/>
        <v>176</v>
      </c>
      <c r="AI4" s="27">
        <f t="shared" si="15"/>
        <v>3</v>
      </c>
      <c r="AJ4" s="31"/>
      <c r="AK4" s="33">
        <f t="shared" si="19"/>
        <v>14304</v>
      </c>
      <c r="AL4" s="17">
        <f t="shared" si="20"/>
        <v>141</v>
      </c>
      <c r="AM4" s="17">
        <f t="shared" si="21"/>
        <v>176</v>
      </c>
      <c r="AN4" s="17">
        <f t="shared" si="22"/>
        <v>55</v>
      </c>
      <c r="AO4" s="17">
        <f t="shared" si="23"/>
        <v>176</v>
      </c>
      <c r="AP4" s="17">
        <f t="shared" si="24"/>
        <v>2</v>
      </c>
      <c r="AQ4" s="17">
        <f t="shared" si="25"/>
        <v>202</v>
      </c>
      <c r="AR4" s="17">
        <f t="shared" si="26"/>
        <v>56</v>
      </c>
      <c r="AS4" s="17">
        <f t="shared" si="27"/>
        <v>138</v>
      </c>
      <c r="AT4" s="34">
        <f t="shared" si="28"/>
        <v>15250</v>
      </c>
      <c r="AU4" s="31"/>
      <c r="AV4">
        <f t="shared" si="43"/>
        <v>1806</v>
      </c>
      <c r="AW4" t="s">
        <v>12</v>
      </c>
      <c r="AX4" s="8" t="str">
        <f t="shared" si="29"/>
        <v>14304,141,176,55,176,2,202,56,138,15250</v>
      </c>
      <c r="AY4" s="31"/>
      <c r="AZ4" s="9" t="str">
        <f t="shared" si="30"/>
        <v>1806 DATA 14304,141,176,55,176,2,202,56,138,15250</v>
      </c>
      <c r="BA4" s="31"/>
      <c r="BB4" s="33">
        <f t="shared" si="31"/>
        <v>14312</v>
      </c>
      <c r="BC4" s="26">
        <f t="shared" si="32"/>
        <v>237</v>
      </c>
      <c r="BD4" s="26">
        <f t="shared" si="33"/>
        <v>83</v>
      </c>
      <c r="BE4" s="26">
        <f t="shared" si="34"/>
        <v>53</v>
      </c>
      <c r="BF4" s="26">
        <f t="shared" si="35"/>
        <v>141</v>
      </c>
      <c r="BG4" s="26">
        <f t="shared" si="36"/>
        <v>177</v>
      </c>
      <c r="BH4" s="26">
        <f t="shared" si="37"/>
        <v>55</v>
      </c>
      <c r="BI4" s="26">
        <f t="shared" si="38"/>
        <v>176</v>
      </c>
      <c r="BJ4" s="26">
        <f t="shared" si="39"/>
        <v>3</v>
      </c>
      <c r="BK4" s="34">
        <f t="shared" si="40"/>
        <v>15237</v>
      </c>
      <c r="BL4" s="31"/>
      <c r="BM4">
        <f t="shared" si="44"/>
        <v>1807</v>
      </c>
      <c r="BN4" t="s">
        <v>12</v>
      </c>
      <c r="BO4" s="8" t="str">
        <f t="shared" si="41"/>
        <v>14312,237,83,53,141,177,55,176,3,15237</v>
      </c>
      <c r="BP4"/>
      <c r="BQ4" s="9" t="str">
        <f t="shared" si="42"/>
        <v>1807 DATA 14312,237,83,53,141,177,55,176,3,15237</v>
      </c>
      <c r="BR4" s="31"/>
      <c r="BS4" s="31"/>
      <c r="BT4" s="9" t="s">
        <v>72</v>
      </c>
    </row>
    <row r="5" spans="1:72">
      <c r="A5" s="1" t="s">
        <v>39</v>
      </c>
      <c r="B5" s="3" t="s">
        <v>9</v>
      </c>
      <c r="C5" s="3">
        <v>0</v>
      </c>
      <c r="D5" s="3">
        <v>60</v>
      </c>
      <c r="E5" s="3" t="s">
        <v>19</v>
      </c>
      <c r="F5" s="3">
        <v>3</v>
      </c>
      <c r="G5" s="3" t="s">
        <v>34</v>
      </c>
      <c r="H5" s="3" t="s">
        <v>40</v>
      </c>
      <c r="I5" s="3">
        <v>0</v>
      </c>
      <c r="J5" s="3">
        <v>48</v>
      </c>
      <c r="K5" s="3">
        <v>88</v>
      </c>
      <c r="L5" s="3">
        <v>10</v>
      </c>
      <c r="M5" s="3" t="s">
        <v>41</v>
      </c>
      <c r="N5" s="3">
        <v>38</v>
      </c>
      <c r="O5" s="3" t="s">
        <v>20</v>
      </c>
      <c r="P5" s="3">
        <v>53</v>
      </c>
      <c r="Q5" s="3">
        <v>35</v>
      </c>
      <c r="S5" s="11">
        <f t="shared" si="18"/>
        <v>14320</v>
      </c>
      <c r="T5" s="16">
        <f t="shared" si="0"/>
        <v>169</v>
      </c>
      <c r="U5" s="17">
        <f t="shared" si="1"/>
        <v>0</v>
      </c>
      <c r="V5" s="17">
        <f t="shared" si="2"/>
        <v>96</v>
      </c>
      <c r="W5" s="17">
        <f t="shared" si="3"/>
        <v>160</v>
      </c>
      <c r="X5" s="17">
        <f t="shared" si="4"/>
        <v>3</v>
      </c>
      <c r="Y5" s="17">
        <f t="shared" si="5"/>
        <v>185</v>
      </c>
      <c r="Z5" s="17">
        <f t="shared" si="6"/>
        <v>251</v>
      </c>
      <c r="AA5" s="18">
        <f t="shared" si="7"/>
        <v>0</v>
      </c>
      <c r="AB5" s="25">
        <f t="shared" si="8"/>
        <v>72</v>
      </c>
      <c r="AC5" s="26">
        <f t="shared" si="9"/>
        <v>136</v>
      </c>
      <c r="AD5" s="26">
        <f t="shared" si="10"/>
        <v>16</v>
      </c>
      <c r="AE5" s="26">
        <f t="shared" si="11"/>
        <v>249</v>
      </c>
      <c r="AF5" s="26">
        <f t="shared" si="12"/>
        <v>56</v>
      </c>
      <c r="AG5" s="26">
        <f t="shared" si="13"/>
        <v>173</v>
      </c>
      <c r="AH5" s="26">
        <f t="shared" si="14"/>
        <v>83</v>
      </c>
      <c r="AI5" s="27">
        <f t="shared" si="15"/>
        <v>53</v>
      </c>
      <c r="AJ5" s="31"/>
      <c r="AK5" s="33">
        <f t="shared" si="19"/>
        <v>14320</v>
      </c>
      <c r="AL5" s="17">
        <f t="shared" si="20"/>
        <v>169</v>
      </c>
      <c r="AM5" s="17">
        <f t="shared" si="21"/>
        <v>0</v>
      </c>
      <c r="AN5" s="17">
        <f t="shared" si="22"/>
        <v>96</v>
      </c>
      <c r="AO5" s="17">
        <f t="shared" si="23"/>
        <v>160</v>
      </c>
      <c r="AP5" s="17">
        <f t="shared" si="24"/>
        <v>3</v>
      </c>
      <c r="AQ5" s="17">
        <f t="shared" si="25"/>
        <v>185</v>
      </c>
      <c r="AR5" s="17">
        <f t="shared" si="26"/>
        <v>251</v>
      </c>
      <c r="AS5" s="17">
        <f t="shared" si="27"/>
        <v>0</v>
      </c>
      <c r="AT5" s="34">
        <f t="shared" si="28"/>
        <v>15184</v>
      </c>
      <c r="AU5" s="31"/>
      <c r="AV5">
        <f t="shared" si="43"/>
        <v>1808</v>
      </c>
      <c r="AW5" t="s">
        <v>12</v>
      </c>
      <c r="AX5" s="8" t="str">
        <f t="shared" si="29"/>
        <v>14320,169,0,96,160,3,185,251,0,15184</v>
      </c>
      <c r="AY5" s="31"/>
      <c r="AZ5" s="9" t="str">
        <f t="shared" si="30"/>
        <v>1808 DATA 14320,169,0,96,160,3,185,251,0,15184</v>
      </c>
      <c r="BA5" s="31"/>
      <c r="BB5" s="33">
        <f t="shared" si="31"/>
        <v>14328</v>
      </c>
      <c r="BC5" s="26">
        <f t="shared" si="32"/>
        <v>72</v>
      </c>
      <c r="BD5" s="26">
        <f t="shared" si="33"/>
        <v>136</v>
      </c>
      <c r="BE5" s="26">
        <f t="shared" si="34"/>
        <v>16</v>
      </c>
      <c r="BF5" s="26">
        <f t="shared" si="35"/>
        <v>249</v>
      </c>
      <c r="BG5" s="26">
        <f t="shared" si="36"/>
        <v>56</v>
      </c>
      <c r="BH5" s="26">
        <f t="shared" si="37"/>
        <v>173</v>
      </c>
      <c r="BI5" s="26">
        <f t="shared" si="38"/>
        <v>83</v>
      </c>
      <c r="BJ5" s="26">
        <f t="shared" si="39"/>
        <v>53</v>
      </c>
      <c r="BK5" s="34">
        <f t="shared" si="40"/>
        <v>15166</v>
      </c>
      <c r="BL5" s="31"/>
      <c r="BM5">
        <f t="shared" si="44"/>
        <v>1809</v>
      </c>
      <c r="BN5" t="s">
        <v>12</v>
      </c>
      <c r="BO5" s="8" t="str">
        <f t="shared" si="41"/>
        <v>14328,72,136,16,249,56,173,83,53,15166</v>
      </c>
      <c r="BP5"/>
      <c r="BQ5" s="9" t="str">
        <f t="shared" si="42"/>
        <v>1809 DATA 14328,72,136,16,249,56,173,83,53,15166</v>
      </c>
      <c r="BR5" s="31"/>
      <c r="BS5" s="31"/>
      <c r="BT5" s="9" t="s">
        <v>73</v>
      </c>
    </row>
    <row r="6" spans="1:72">
      <c r="A6" s="1" t="s">
        <v>42</v>
      </c>
      <c r="B6" s="3" t="s">
        <v>26</v>
      </c>
      <c r="C6" s="3" t="s">
        <v>43</v>
      </c>
      <c r="D6" s="3">
        <v>37</v>
      </c>
      <c r="E6" s="3">
        <v>90</v>
      </c>
      <c r="F6" s="3">
        <v>40</v>
      </c>
      <c r="G6" s="3" t="s">
        <v>25</v>
      </c>
      <c r="H6" s="3">
        <v>18</v>
      </c>
      <c r="I6" s="3" t="s">
        <v>20</v>
      </c>
      <c r="J6" s="3">
        <v>52</v>
      </c>
      <c r="K6" s="3">
        <v>35</v>
      </c>
      <c r="L6" s="3" t="s">
        <v>26</v>
      </c>
      <c r="M6" s="3" t="s">
        <v>44</v>
      </c>
      <c r="N6" s="3">
        <v>37</v>
      </c>
      <c r="O6" s="3">
        <v>90</v>
      </c>
      <c r="P6" s="3">
        <v>36</v>
      </c>
      <c r="Q6" s="3" t="s">
        <v>25</v>
      </c>
      <c r="S6" s="11">
        <f t="shared" si="18"/>
        <v>14336</v>
      </c>
      <c r="T6" s="16">
        <f t="shared" si="0"/>
        <v>205</v>
      </c>
      <c r="U6" s="17">
        <f t="shared" si="1"/>
        <v>179</v>
      </c>
      <c r="V6" s="17">
        <f t="shared" si="2"/>
        <v>55</v>
      </c>
      <c r="W6" s="17">
        <f t="shared" si="3"/>
        <v>144</v>
      </c>
      <c r="X6" s="17">
        <f t="shared" si="4"/>
        <v>64</v>
      </c>
      <c r="Y6" s="17">
        <f t="shared" si="5"/>
        <v>208</v>
      </c>
      <c r="Z6" s="17">
        <f t="shared" si="6"/>
        <v>24</v>
      </c>
      <c r="AA6" s="18">
        <f t="shared" si="7"/>
        <v>173</v>
      </c>
      <c r="AB6" s="25">
        <f t="shared" si="8"/>
        <v>82</v>
      </c>
      <c r="AC6" s="26">
        <f t="shared" si="9"/>
        <v>53</v>
      </c>
      <c r="AD6" s="26">
        <f t="shared" si="10"/>
        <v>205</v>
      </c>
      <c r="AE6" s="26">
        <f t="shared" si="11"/>
        <v>178</v>
      </c>
      <c r="AF6" s="26">
        <f t="shared" si="12"/>
        <v>55</v>
      </c>
      <c r="AG6" s="26">
        <f t="shared" si="13"/>
        <v>144</v>
      </c>
      <c r="AH6" s="26">
        <f t="shared" si="14"/>
        <v>54</v>
      </c>
      <c r="AI6" s="27">
        <f t="shared" si="15"/>
        <v>208</v>
      </c>
      <c r="AJ6" s="31"/>
      <c r="AK6" s="33">
        <f t="shared" si="19"/>
        <v>14336</v>
      </c>
      <c r="AL6" s="17">
        <f t="shared" si="20"/>
        <v>205</v>
      </c>
      <c r="AM6" s="17">
        <f t="shared" si="21"/>
        <v>179</v>
      </c>
      <c r="AN6" s="17">
        <f t="shared" si="22"/>
        <v>55</v>
      </c>
      <c r="AO6" s="17">
        <f t="shared" si="23"/>
        <v>144</v>
      </c>
      <c r="AP6" s="17">
        <f t="shared" si="24"/>
        <v>64</v>
      </c>
      <c r="AQ6" s="17">
        <f t="shared" si="25"/>
        <v>208</v>
      </c>
      <c r="AR6" s="17">
        <f t="shared" si="26"/>
        <v>24</v>
      </c>
      <c r="AS6" s="17">
        <f t="shared" si="27"/>
        <v>173</v>
      </c>
      <c r="AT6" s="34">
        <f t="shared" si="28"/>
        <v>15388</v>
      </c>
      <c r="AU6" s="31"/>
      <c r="AV6">
        <f t="shared" si="43"/>
        <v>1810</v>
      </c>
      <c r="AW6" t="s">
        <v>12</v>
      </c>
      <c r="AX6" s="8" t="str">
        <f t="shared" si="29"/>
        <v>14336,205,179,55,144,64,208,24,173,15388</v>
      </c>
      <c r="AY6" s="31"/>
      <c r="AZ6" s="9" t="str">
        <f t="shared" si="30"/>
        <v>1810 DATA 14336,205,179,55,144,64,208,24,173,15388</v>
      </c>
      <c r="BA6" s="31"/>
      <c r="BB6" s="33">
        <f t="shared" si="31"/>
        <v>14344</v>
      </c>
      <c r="BC6" s="26">
        <f t="shared" si="32"/>
        <v>82</v>
      </c>
      <c r="BD6" s="26">
        <f t="shared" si="33"/>
        <v>53</v>
      </c>
      <c r="BE6" s="26">
        <f t="shared" si="34"/>
        <v>205</v>
      </c>
      <c r="BF6" s="26">
        <f t="shared" si="35"/>
        <v>178</v>
      </c>
      <c r="BG6" s="26">
        <f t="shared" si="36"/>
        <v>55</v>
      </c>
      <c r="BH6" s="26">
        <f t="shared" si="37"/>
        <v>144</v>
      </c>
      <c r="BI6" s="26">
        <f t="shared" si="38"/>
        <v>54</v>
      </c>
      <c r="BJ6" s="26">
        <f t="shared" si="39"/>
        <v>208</v>
      </c>
      <c r="BK6" s="34">
        <f t="shared" si="40"/>
        <v>15323</v>
      </c>
      <c r="BL6" s="31"/>
      <c r="BM6">
        <f t="shared" si="44"/>
        <v>1811</v>
      </c>
      <c r="BN6" t="s">
        <v>12</v>
      </c>
      <c r="BO6" s="8" t="str">
        <f t="shared" si="41"/>
        <v>14344,82,53,205,178,55,144,54,208,15323</v>
      </c>
      <c r="BP6"/>
      <c r="BQ6" s="9" t="str">
        <f t="shared" si="42"/>
        <v>1811 DATA 14344,82,53,205,178,55,144,54,208,15323</v>
      </c>
      <c r="BR6" s="31"/>
      <c r="BS6" s="31"/>
      <c r="BT6" s="9" t="s">
        <v>74</v>
      </c>
    </row>
    <row r="7" spans="1:72">
      <c r="A7" s="1" t="s">
        <v>45</v>
      </c>
      <c r="B7" s="3" t="s">
        <v>11</v>
      </c>
      <c r="C7" s="3" t="s">
        <v>19</v>
      </c>
      <c r="D7" s="3">
        <v>0</v>
      </c>
      <c r="E7" s="3">
        <v>68</v>
      </c>
      <c r="F7" s="3">
        <v>99</v>
      </c>
      <c r="G7" s="3" t="s">
        <v>40</v>
      </c>
      <c r="H7" s="3">
        <v>0</v>
      </c>
      <c r="I7" s="3" t="s">
        <v>13</v>
      </c>
      <c r="J7" s="3" t="s">
        <v>28</v>
      </c>
      <c r="K7" s="3">
        <v>4</v>
      </c>
      <c r="L7" s="3" t="s">
        <v>25</v>
      </c>
      <c r="M7" s="3" t="s">
        <v>46</v>
      </c>
      <c r="N7" s="3" t="s">
        <v>9</v>
      </c>
      <c r="O7" s="3" t="s">
        <v>5</v>
      </c>
      <c r="P7" s="3">
        <v>60</v>
      </c>
      <c r="Q7" s="3">
        <v>20</v>
      </c>
      <c r="S7" s="11">
        <f t="shared" si="18"/>
        <v>14352</v>
      </c>
      <c r="T7" s="16">
        <f t="shared" si="0"/>
        <v>14</v>
      </c>
      <c r="U7" s="17">
        <f t="shared" si="1"/>
        <v>160</v>
      </c>
      <c r="V7" s="17">
        <f t="shared" si="2"/>
        <v>0</v>
      </c>
      <c r="W7" s="17">
        <f t="shared" si="3"/>
        <v>104</v>
      </c>
      <c r="X7" s="17">
        <f t="shared" si="4"/>
        <v>153</v>
      </c>
      <c r="Y7" s="17">
        <f t="shared" si="5"/>
        <v>251</v>
      </c>
      <c r="Z7" s="17">
        <f t="shared" si="6"/>
        <v>0</v>
      </c>
      <c r="AA7" s="18">
        <f t="shared" si="7"/>
        <v>200</v>
      </c>
      <c r="AB7" s="25">
        <f t="shared" si="8"/>
        <v>192</v>
      </c>
      <c r="AC7" s="26">
        <f t="shared" si="9"/>
        <v>4</v>
      </c>
      <c r="AD7" s="26">
        <f t="shared" si="10"/>
        <v>208</v>
      </c>
      <c r="AE7" s="26">
        <f t="shared" si="11"/>
        <v>247</v>
      </c>
      <c r="AF7" s="26">
        <f t="shared" si="12"/>
        <v>169</v>
      </c>
      <c r="AG7" s="26">
        <f t="shared" si="13"/>
        <v>255</v>
      </c>
      <c r="AH7" s="26">
        <f t="shared" si="14"/>
        <v>96</v>
      </c>
      <c r="AI7" s="27">
        <f t="shared" si="15"/>
        <v>32</v>
      </c>
      <c r="AJ7" s="31"/>
      <c r="AK7" s="33">
        <f t="shared" si="19"/>
        <v>14352</v>
      </c>
      <c r="AL7" s="17">
        <f t="shared" si="20"/>
        <v>14</v>
      </c>
      <c r="AM7" s="17">
        <f t="shared" si="21"/>
        <v>160</v>
      </c>
      <c r="AN7" s="17">
        <f t="shared" si="22"/>
        <v>0</v>
      </c>
      <c r="AO7" s="17">
        <f t="shared" si="23"/>
        <v>104</v>
      </c>
      <c r="AP7" s="17">
        <f t="shared" si="24"/>
        <v>153</v>
      </c>
      <c r="AQ7" s="17">
        <f t="shared" si="25"/>
        <v>251</v>
      </c>
      <c r="AR7" s="17">
        <f t="shared" si="26"/>
        <v>0</v>
      </c>
      <c r="AS7" s="17">
        <f t="shared" si="27"/>
        <v>200</v>
      </c>
      <c r="AT7" s="34">
        <f t="shared" si="28"/>
        <v>15234</v>
      </c>
      <c r="AU7" s="31"/>
      <c r="AV7">
        <f t="shared" si="43"/>
        <v>1812</v>
      </c>
      <c r="AW7" t="s">
        <v>12</v>
      </c>
      <c r="AX7" s="8" t="str">
        <f t="shared" si="29"/>
        <v>14352,14,160,0,104,153,251,0,200,15234</v>
      </c>
      <c r="AY7" s="31"/>
      <c r="AZ7" s="9" t="str">
        <f t="shared" si="30"/>
        <v>1812 DATA 14352,14,160,0,104,153,251,0,200,15234</v>
      </c>
      <c r="BA7" s="31"/>
      <c r="BB7" s="33">
        <f t="shared" si="31"/>
        <v>14360</v>
      </c>
      <c r="BC7" s="26">
        <f t="shared" si="32"/>
        <v>192</v>
      </c>
      <c r="BD7" s="26">
        <f t="shared" si="33"/>
        <v>4</v>
      </c>
      <c r="BE7" s="26">
        <f t="shared" si="34"/>
        <v>208</v>
      </c>
      <c r="BF7" s="26">
        <f t="shared" si="35"/>
        <v>247</v>
      </c>
      <c r="BG7" s="26">
        <f t="shared" si="36"/>
        <v>169</v>
      </c>
      <c r="BH7" s="26">
        <f t="shared" si="37"/>
        <v>255</v>
      </c>
      <c r="BI7" s="26">
        <f t="shared" si="38"/>
        <v>96</v>
      </c>
      <c r="BJ7" s="26">
        <f t="shared" si="39"/>
        <v>32</v>
      </c>
      <c r="BK7" s="34">
        <f t="shared" si="40"/>
        <v>15563</v>
      </c>
      <c r="BL7" s="31"/>
      <c r="BM7">
        <f t="shared" si="44"/>
        <v>1813</v>
      </c>
      <c r="BN7" t="s">
        <v>12</v>
      </c>
      <c r="BO7" s="8" t="str">
        <f t="shared" si="41"/>
        <v>14360,192,4,208,247,169,255,96,32,15563</v>
      </c>
      <c r="BP7"/>
      <c r="BQ7" s="9" t="str">
        <f t="shared" si="42"/>
        <v>1813 DATA 14360,192,4,208,247,169,255,96,32,15563</v>
      </c>
      <c r="BR7" s="31"/>
      <c r="BS7" s="31"/>
      <c r="BT7" s="9" t="s">
        <v>75</v>
      </c>
    </row>
    <row r="8" spans="1:72">
      <c r="A8" s="1" t="s">
        <v>47</v>
      </c>
      <c r="B8" s="3" t="s">
        <v>48</v>
      </c>
      <c r="C8" s="3">
        <v>38</v>
      </c>
      <c r="D8" s="3" t="s">
        <v>19</v>
      </c>
      <c r="E8" s="3">
        <v>0</v>
      </c>
      <c r="F8" s="3" t="s">
        <v>18</v>
      </c>
      <c r="G8" s="3" t="s">
        <v>38</v>
      </c>
      <c r="H8" s="3">
        <v>37</v>
      </c>
      <c r="I8" s="3" t="s">
        <v>29</v>
      </c>
      <c r="J8" s="3" t="s">
        <v>11</v>
      </c>
      <c r="K8" s="3" t="s">
        <v>38</v>
      </c>
      <c r="L8" s="3" t="s">
        <v>40</v>
      </c>
      <c r="M8" s="3">
        <v>91</v>
      </c>
      <c r="N8" s="3" t="s">
        <v>49</v>
      </c>
      <c r="O8" s="3" t="s">
        <v>13</v>
      </c>
      <c r="P8" s="3" t="s">
        <v>25</v>
      </c>
      <c r="Q8" s="3" t="s">
        <v>41</v>
      </c>
      <c r="S8" s="11">
        <f t="shared" si="18"/>
        <v>14368</v>
      </c>
      <c r="T8" s="16">
        <f t="shared" si="0"/>
        <v>164</v>
      </c>
      <c r="U8" s="17">
        <f t="shared" si="1"/>
        <v>56</v>
      </c>
      <c r="V8" s="17">
        <f t="shared" si="2"/>
        <v>160</v>
      </c>
      <c r="W8" s="17">
        <f t="shared" si="3"/>
        <v>0</v>
      </c>
      <c r="X8" s="17">
        <f t="shared" si="4"/>
        <v>174</v>
      </c>
      <c r="Y8" s="17">
        <f t="shared" si="5"/>
        <v>177</v>
      </c>
      <c r="Z8" s="17">
        <f t="shared" si="6"/>
        <v>55</v>
      </c>
      <c r="AA8" s="18">
        <f t="shared" si="7"/>
        <v>240</v>
      </c>
      <c r="AB8" s="25">
        <f t="shared" si="8"/>
        <v>14</v>
      </c>
      <c r="AC8" s="26">
        <f t="shared" si="9"/>
        <v>177</v>
      </c>
      <c r="AD8" s="26">
        <f t="shared" si="10"/>
        <v>251</v>
      </c>
      <c r="AE8" s="26">
        <f t="shared" si="11"/>
        <v>145</v>
      </c>
      <c r="AF8" s="26">
        <f t="shared" si="12"/>
        <v>253</v>
      </c>
      <c r="AG8" s="26">
        <f t="shared" si="13"/>
        <v>200</v>
      </c>
      <c r="AH8" s="26">
        <f t="shared" si="14"/>
        <v>208</v>
      </c>
      <c r="AI8" s="27">
        <f t="shared" si="15"/>
        <v>249</v>
      </c>
      <c r="AJ8" s="31"/>
      <c r="AK8" s="33">
        <f t="shared" si="19"/>
        <v>14368</v>
      </c>
      <c r="AL8" s="17">
        <f t="shared" si="20"/>
        <v>164</v>
      </c>
      <c r="AM8" s="17">
        <f t="shared" si="21"/>
        <v>56</v>
      </c>
      <c r="AN8" s="17">
        <f t="shared" si="22"/>
        <v>160</v>
      </c>
      <c r="AO8" s="17">
        <f t="shared" si="23"/>
        <v>0</v>
      </c>
      <c r="AP8" s="17">
        <f t="shared" si="24"/>
        <v>174</v>
      </c>
      <c r="AQ8" s="17">
        <f t="shared" si="25"/>
        <v>177</v>
      </c>
      <c r="AR8" s="17">
        <f t="shared" si="26"/>
        <v>55</v>
      </c>
      <c r="AS8" s="17">
        <f t="shared" si="27"/>
        <v>240</v>
      </c>
      <c r="AT8" s="34">
        <f t="shared" si="28"/>
        <v>15394</v>
      </c>
      <c r="AU8" s="31"/>
      <c r="AV8">
        <f t="shared" si="43"/>
        <v>1814</v>
      </c>
      <c r="AW8" t="s">
        <v>12</v>
      </c>
      <c r="AX8" s="8" t="str">
        <f t="shared" si="29"/>
        <v>14368,164,56,160,0,174,177,55,240,15394</v>
      </c>
      <c r="AY8" s="31"/>
      <c r="AZ8" s="9" t="str">
        <f t="shared" si="30"/>
        <v>1814 DATA 14368,164,56,160,0,174,177,55,240,15394</v>
      </c>
      <c r="BA8" s="31"/>
      <c r="BB8" s="33">
        <f t="shared" si="31"/>
        <v>14376</v>
      </c>
      <c r="BC8" s="26">
        <f t="shared" si="32"/>
        <v>14</v>
      </c>
      <c r="BD8" s="26">
        <f t="shared" si="33"/>
        <v>177</v>
      </c>
      <c r="BE8" s="26">
        <f t="shared" si="34"/>
        <v>251</v>
      </c>
      <c r="BF8" s="26">
        <f t="shared" si="35"/>
        <v>145</v>
      </c>
      <c r="BG8" s="26">
        <f t="shared" si="36"/>
        <v>253</v>
      </c>
      <c r="BH8" s="26">
        <f t="shared" si="37"/>
        <v>200</v>
      </c>
      <c r="BI8" s="26">
        <f t="shared" si="38"/>
        <v>208</v>
      </c>
      <c r="BJ8" s="26">
        <f t="shared" si="39"/>
        <v>249</v>
      </c>
      <c r="BK8" s="34">
        <f t="shared" si="40"/>
        <v>15873</v>
      </c>
      <c r="BL8" s="31"/>
      <c r="BM8">
        <f t="shared" si="44"/>
        <v>1815</v>
      </c>
      <c r="BN8" t="s">
        <v>12</v>
      </c>
      <c r="BO8" s="8" t="str">
        <f t="shared" si="41"/>
        <v>14376,14,177,251,145,253,200,208,249,15873</v>
      </c>
      <c r="BP8"/>
      <c r="BQ8" s="9" t="str">
        <f t="shared" si="42"/>
        <v>1815 DATA 14376,14,177,251,145,253,200,208,249,15873</v>
      </c>
      <c r="BR8" s="31"/>
      <c r="BS8" s="31"/>
      <c r="BT8" s="9" t="s">
        <v>76</v>
      </c>
    </row>
    <row r="9" spans="1:72">
      <c r="A9" s="1" t="s">
        <v>50</v>
      </c>
      <c r="B9" s="3" t="s">
        <v>51</v>
      </c>
      <c r="C9" s="3" t="s">
        <v>52</v>
      </c>
      <c r="D9" s="3" t="s">
        <v>51</v>
      </c>
      <c r="E9" s="3" t="s">
        <v>53</v>
      </c>
      <c r="F9" s="3" t="s">
        <v>22</v>
      </c>
      <c r="G9" s="3" t="s">
        <v>25</v>
      </c>
      <c r="H9" s="3" t="s">
        <v>54</v>
      </c>
      <c r="I9" s="3">
        <v>88</v>
      </c>
      <c r="J9" s="3" t="s">
        <v>13</v>
      </c>
      <c r="K9" s="3" t="s">
        <v>38</v>
      </c>
      <c r="L9" s="3" t="s">
        <v>40</v>
      </c>
      <c r="M9" s="3">
        <v>91</v>
      </c>
      <c r="N9" s="3" t="s">
        <v>49</v>
      </c>
      <c r="O9" s="3" t="s">
        <v>55</v>
      </c>
      <c r="P9" s="3" t="s">
        <v>30</v>
      </c>
      <c r="Q9" s="3">
        <v>37</v>
      </c>
      <c r="S9" s="11">
        <f t="shared" si="18"/>
        <v>14384</v>
      </c>
      <c r="T9" s="16">
        <f t="shared" si="0"/>
        <v>230</v>
      </c>
      <c r="U9" s="17">
        <f t="shared" si="1"/>
        <v>252</v>
      </c>
      <c r="V9" s="17">
        <f t="shared" si="2"/>
        <v>230</v>
      </c>
      <c r="W9" s="17">
        <f t="shared" si="3"/>
        <v>254</v>
      </c>
      <c r="X9" s="17">
        <f t="shared" si="4"/>
        <v>202</v>
      </c>
      <c r="Y9" s="17">
        <f t="shared" si="5"/>
        <v>208</v>
      </c>
      <c r="Z9" s="17">
        <f t="shared" si="6"/>
        <v>242</v>
      </c>
      <c r="AA9" s="18">
        <f t="shared" si="7"/>
        <v>136</v>
      </c>
      <c r="AB9" s="25">
        <f t="shared" si="8"/>
        <v>200</v>
      </c>
      <c r="AC9" s="26">
        <f t="shared" si="9"/>
        <v>177</v>
      </c>
      <c r="AD9" s="26">
        <f t="shared" si="10"/>
        <v>251</v>
      </c>
      <c r="AE9" s="26">
        <f t="shared" si="11"/>
        <v>145</v>
      </c>
      <c r="AF9" s="26">
        <f t="shared" si="12"/>
        <v>253</v>
      </c>
      <c r="AG9" s="26">
        <f t="shared" si="13"/>
        <v>204</v>
      </c>
      <c r="AH9" s="26">
        <f t="shared" si="14"/>
        <v>176</v>
      </c>
      <c r="AI9" s="27">
        <f t="shared" si="15"/>
        <v>55</v>
      </c>
      <c r="AJ9" s="31"/>
      <c r="AK9" s="33">
        <f t="shared" si="19"/>
        <v>14384</v>
      </c>
      <c r="AL9" s="17">
        <f t="shared" si="20"/>
        <v>230</v>
      </c>
      <c r="AM9" s="17">
        <f t="shared" si="21"/>
        <v>252</v>
      </c>
      <c r="AN9" s="17">
        <f t="shared" si="22"/>
        <v>230</v>
      </c>
      <c r="AO9" s="17">
        <f t="shared" si="23"/>
        <v>254</v>
      </c>
      <c r="AP9" s="17">
        <f t="shared" si="24"/>
        <v>202</v>
      </c>
      <c r="AQ9" s="17">
        <f t="shared" si="25"/>
        <v>208</v>
      </c>
      <c r="AR9" s="17">
        <f t="shared" si="26"/>
        <v>242</v>
      </c>
      <c r="AS9" s="17">
        <f t="shared" si="27"/>
        <v>136</v>
      </c>
      <c r="AT9" s="34">
        <f t="shared" si="28"/>
        <v>16138</v>
      </c>
      <c r="AU9" s="31"/>
      <c r="AV9">
        <f t="shared" si="43"/>
        <v>1816</v>
      </c>
      <c r="AW9" t="s">
        <v>12</v>
      </c>
      <c r="AX9" s="8" t="str">
        <f t="shared" si="29"/>
        <v>14384,230,252,230,254,202,208,242,136,16138</v>
      </c>
      <c r="AY9" s="31"/>
      <c r="AZ9" s="9" t="str">
        <f t="shared" si="30"/>
        <v>1816 DATA 14384,230,252,230,254,202,208,242,136,16138</v>
      </c>
      <c r="BA9" s="31"/>
      <c r="BB9" s="33">
        <f t="shared" si="31"/>
        <v>14392</v>
      </c>
      <c r="BC9" s="26">
        <f t="shared" si="32"/>
        <v>200</v>
      </c>
      <c r="BD9" s="26">
        <f t="shared" si="33"/>
        <v>177</v>
      </c>
      <c r="BE9" s="26">
        <f t="shared" si="34"/>
        <v>251</v>
      </c>
      <c r="BF9" s="26">
        <f t="shared" si="35"/>
        <v>145</v>
      </c>
      <c r="BG9" s="26">
        <f t="shared" si="36"/>
        <v>253</v>
      </c>
      <c r="BH9" s="26">
        <f t="shared" si="37"/>
        <v>204</v>
      </c>
      <c r="BI9" s="26">
        <f t="shared" si="38"/>
        <v>176</v>
      </c>
      <c r="BJ9" s="26">
        <f t="shared" si="39"/>
        <v>55</v>
      </c>
      <c r="BK9" s="34">
        <f t="shared" si="40"/>
        <v>15853</v>
      </c>
      <c r="BL9" s="31"/>
      <c r="BM9">
        <f t="shared" si="44"/>
        <v>1817</v>
      </c>
      <c r="BN9" t="s">
        <v>12</v>
      </c>
      <c r="BO9" s="8" t="str">
        <f t="shared" si="41"/>
        <v>14392,200,177,251,145,253,204,176,55,15853</v>
      </c>
      <c r="BP9"/>
      <c r="BQ9" s="9" t="str">
        <f t="shared" si="42"/>
        <v>1817 DATA 14392,200,177,251,145,253,204,176,55,15853</v>
      </c>
      <c r="BR9" s="31"/>
      <c r="BS9" s="31"/>
      <c r="BT9" s="9" t="s">
        <v>77</v>
      </c>
    </row>
    <row r="10" spans="1:72">
      <c r="A10" s="1" t="s">
        <v>56</v>
      </c>
      <c r="B10" s="3" t="s">
        <v>25</v>
      </c>
      <c r="C10" s="3" t="s">
        <v>14</v>
      </c>
      <c r="D10" s="3" t="s">
        <v>2</v>
      </c>
      <c r="E10" s="3">
        <v>11</v>
      </c>
      <c r="F10" s="3">
        <v>38</v>
      </c>
      <c r="G10" s="3" t="s">
        <v>20</v>
      </c>
      <c r="H10" s="3" t="s">
        <v>38</v>
      </c>
      <c r="I10" s="3">
        <v>37</v>
      </c>
      <c r="J10" s="3" t="s">
        <v>29</v>
      </c>
      <c r="K10" s="3">
        <v>48</v>
      </c>
      <c r="L10" s="3" t="s">
        <v>8</v>
      </c>
      <c r="M10" s="3" t="s">
        <v>38</v>
      </c>
      <c r="N10" s="3">
        <v>37</v>
      </c>
      <c r="O10" s="3" t="s">
        <v>20</v>
      </c>
      <c r="P10" s="3" t="s">
        <v>30</v>
      </c>
      <c r="Q10" s="3">
        <v>37</v>
      </c>
      <c r="S10" s="11">
        <f t="shared" si="18"/>
        <v>14400</v>
      </c>
      <c r="T10" s="16">
        <f t="shared" si="0"/>
        <v>208</v>
      </c>
      <c r="U10" s="17">
        <f t="shared" si="1"/>
        <v>246</v>
      </c>
      <c r="V10" s="17">
        <f t="shared" si="2"/>
        <v>76</v>
      </c>
      <c r="W10" s="17">
        <f t="shared" si="3"/>
        <v>17</v>
      </c>
      <c r="X10" s="17">
        <f t="shared" si="4"/>
        <v>56</v>
      </c>
      <c r="Y10" s="17">
        <f t="shared" si="5"/>
        <v>173</v>
      </c>
      <c r="Z10" s="17">
        <f t="shared" si="6"/>
        <v>177</v>
      </c>
      <c r="AA10" s="18">
        <f t="shared" si="7"/>
        <v>55</v>
      </c>
      <c r="AB10" s="25">
        <f t="shared" si="8"/>
        <v>240</v>
      </c>
      <c r="AC10" s="26">
        <f t="shared" si="9"/>
        <v>72</v>
      </c>
      <c r="AD10" s="26">
        <f t="shared" si="10"/>
        <v>172</v>
      </c>
      <c r="AE10" s="26">
        <f t="shared" si="11"/>
        <v>177</v>
      </c>
      <c r="AF10" s="26">
        <f t="shared" si="12"/>
        <v>55</v>
      </c>
      <c r="AG10" s="26">
        <f t="shared" si="13"/>
        <v>173</v>
      </c>
      <c r="AH10" s="26">
        <f t="shared" si="14"/>
        <v>176</v>
      </c>
      <c r="AI10" s="27">
        <f t="shared" si="15"/>
        <v>55</v>
      </c>
      <c r="AJ10" s="31"/>
      <c r="AK10" s="33">
        <f t="shared" si="19"/>
        <v>14400</v>
      </c>
      <c r="AL10" s="17">
        <f t="shared" si="20"/>
        <v>208</v>
      </c>
      <c r="AM10" s="17">
        <f t="shared" si="21"/>
        <v>246</v>
      </c>
      <c r="AN10" s="17">
        <f t="shared" si="22"/>
        <v>76</v>
      </c>
      <c r="AO10" s="17">
        <f t="shared" si="23"/>
        <v>17</v>
      </c>
      <c r="AP10" s="17">
        <f t="shared" si="24"/>
        <v>56</v>
      </c>
      <c r="AQ10" s="17">
        <f t="shared" si="25"/>
        <v>173</v>
      </c>
      <c r="AR10" s="17">
        <f t="shared" si="26"/>
        <v>177</v>
      </c>
      <c r="AS10" s="17">
        <f t="shared" si="27"/>
        <v>55</v>
      </c>
      <c r="AT10" s="34">
        <f t="shared" si="28"/>
        <v>15408</v>
      </c>
      <c r="AU10" s="31"/>
      <c r="AV10">
        <f t="shared" si="43"/>
        <v>1818</v>
      </c>
      <c r="AW10" t="s">
        <v>12</v>
      </c>
      <c r="AX10" s="8" t="str">
        <f t="shared" si="29"/>
        <v>14400,208,246,76,17,56,173,177,55,15408</v>
      </c>
      <c r="AY10" s="31"/>
      <c r="AZ10" s="9" t="str">
        <f t="shared" si="30"/>
        <v>1818 DATA 14400,208,246,76,17,56,173,177,55,15408</v>
      </c>
      <c r="BA10" s="31"/>
      <c r="BB10" s="33">
        <f t="shared" si="31"/>
        <v>14408</v>
      </c>
      <c r="BC10" s="26">
        <f t="shared" si="32"/>
        <v>240</v>
      </c>
      <c r="BD10" s="26">
        <f t="shared" si="33"/>
        <v>72</v>
      </c>
      <c r="BE10" s="26">
        <f t="shared" si="34"/>
        <v>172</v>
      </c>
      <c r="BF10" s="26">
        <f t="shared" si="35"/>
        <v>177</v>
      </c>
      <c r="BG10" s="26">
        <f t="shared" si="36"/>
        <v>55</v>
      </c>
      <c r="BH10" s="26">
        <f t="shared" si="37"/>
        <v>173</v>
      </c>
      <c r="BI10" s="26">
        <f t="shared" si="38"/>
        <v>176</v>
      </c>
      <c r="BJ10" s="26">
        <f t="shared" si="39"/>
        <v>55</v>
      </c>
      <c r="BK10" s="34">
        <f t="shared" si="40"/>
        <v>15528</v>
      </c>
      <c r="BL10" s="31"/>
      <c r="BM10">
        <f t="shared" si="44"/>
        <v>1819</v>
      </c>
      <c r="BN10" t="s">
        <v>12</v>
      </c>
      <c r="BO10" s="8" t="str">
        <f t="shared" si="41"/>
        <v>14408,240,72,172,177,55,173,176,55,15528</v>
      </c>
      <c r="BP10"/>
      <c r="BQ10" s="9" t="str">
        <f t="shared" si="42"/>
        <v>1819 DATA 14408,240,72,172,177,55,173,176,55,15528</v>
      </c>
      <c r="BR10" s="31"/>
      <c r="BS10" s="31"/>
      <c r="BT10" s="9" t="s">
        <v>78</v>
      </c>
    </row>
    <row r="11" spans="1:72">
      <c r="A11" s="1" t="s">
        <v>57</v>
      </c>
      <c r="B11" s="3">
        <v>38</v>
      </c>
      <c r="C11" s="3" t="s">
        <v>24</v>
      </c>
      <c r="D11" s="3" t="s">
        <v>5</v>
      </c>
      <c r="E11" s="3" t="s">
        <v>30</v>
      </c>
      <c r="F11" s="3">
        <v>1</v>
      </c>
      <c r="G11" s="3">
        <v>88</v>
      </c>
      <c r="H11" s="3" t="s">
        <v>21</v>
      </c>
      <c r="I11" s="3">
        <v>84</v>
      </c>
      <c r="J11" s="3" t="s">
        <v>53</v>
      </c>
      <c r="K11" s="3" t="s">
        <v>37</v>
      </c>
      <c r="L11" s="3">
        <v>18</v>
      </c>
      <c r="M11" s="3" t="s">
        <v>7</v>
      </c>
      <c r="N11" s="3">
        <v>52</v>
      </c>
      <c r="O11" s="3">
        <v>35</v>
      </c>
      <c r="P11" s="3">
        <v>85</v>
      </c>
      <c r="Q11" s="3" t="s">
        <v>40</v>
      </c>
      <c r="S11" s="11">
        <f t="shared" si="18"/>
        <v>14416</v>
      </c>
      <c r="T11" s="16">
        <f t="shared" si="0"/>
        <v>56</v>
      </c>
      <c r="U11" s="17">
        <f t="shared" si="1"/>
        <v>233</v>
      </c>
      <c r="V11" s="17">
        <f t="shared" si="2"/>
        <v>255</v>
      </c>
      <c r="W11" s="17">
        <f t="shared" si="3"/>
        <v>176</v>
      </c>
      <c r="X11" s="17">
        <f t="shared" si="4"/>
        <v>1</v>
      </c>
      <c r="Y11" s="17">
        <f t="shared" si="5"/>
        <v>136</v>
      </c>
      <c r="Z11" s="17">
        <f t="shared" si="6"/>
        <v>170</v>
      </c>
      <c r="AA11" s="18">
        <f t="shared" si="7"/>
        <v>132</v>
      </c>
      <c r="AB11" s="25">
        <f t="shared" si="8"/>
        <v>254</v>
      </c>
      <c r="AC11" s="26">
        <f t="shared" si="9"/>
        <v>138</v>
      </c>
      <c r="AD11" s="26">
        <f t="shared" si="10"/>
        <v>24</v>
      </c>
      <c r="AE11" s="26">
        <f t="shared" si="11"/>
        <v>109</v>
      </c>
      <c r="AF11" s="26">
        <f t="shared" si="12"/>
        <v>82</v>
      </c>
      <c r="AG11" s="26">
        <f t="shared" si="13"/>
        <v>53</v>
      </c>
      <c r="AH11" s="26">
        <f t="shared" si="14"/>
        <v>133</v>
      </c>
      <c r="AI11" s="27">
        <f t="shared" si="15"/>
        <v>251</v>
      </c>
      <c r="AJ11" s="31"/>
      <c r="AK11" s="33">
        <f t="shared" si="19"/>
        <v>14416</v>
      </c>
      <c r="AL11" s="17">
        <f t="shared" si="20"/>
        <v>56</v>
      </c>
      <c r="AM11" s="17">
        <f t="shared" si="21"/>
        <v>233</v>
      </c>
      <c r="AN11" s="17">
        <f t="shared" si="22"/>
        <v>255</v>
      </c>
      <c r="AO11" s="17">
        <f t="shared" si="23"/>
        <v>176</v>
      </c>
      <c r="AP11" s="17">
        <f t="shared" si="24"/>
        <v>1</v>
      </c>
      <c r="AQ11" s="17">
        <f t="shared" si="25"/>
        <v>136</v>
      </c>
      <c r="AR11" s="17">
        <f t="shared" si="26"/>
        <v>170</v>
      </c>
      <c r="AS11" s="17">
        <f t="shared" si="27"/>
        <v>132</v>
      </c>
      <c r="AT11" s="34">
        <f t="shared" si="28"/>
        <v>15575</v>
      </c>
      <c r="AU11" s="31"/>
      <c r="AV11">
        <f t="shared" si="43"/>
        <v>1820</v>
      </c>
      <c r="AW11" t="s">
        <v>12</v>
      </c>
      <c r="AX11" s="8" t="str">
        <f t="shared" si="29"/>
        <v>14416,56,233,255,176,1,136,170,132,15575</v>
      </c>
      <c r="AY11" s="31"/>
      <c r="AZ11" s="9" t="str">
        <f t="shared" si="30"/>
        <v>1820 DATA 14416,56,233,255,176,1,136,170,132,15575</v>
      </c>
      <c r="BA11" s="31"/>
      <c r="BB11" s="33">
        <f t="shared" si="31"/>
        <v>14424</v>
      </c>
      <c r="BC11" s="26">
        <f t="shared" si="32"/>
        <v>254</v>
      </c>
      <c r="BD11" s="26">
        <f t="shared" si="33"/>
        <v>138</v>
      </c>
      <c r="BE11" s="26">
        <f t="shared" si="34"/>
        <v>24</v>
      </c>
      <c r="BF11" s="26">
        <f t="shared" si="35"/>
        <v>109</v>
      </c>
      <c r="BG11" s="26">
        <f t="shared" si="36"/>
        <v>82</v>
      </c>
      <c r="BH11" s="26">
        <f t="shared" si="37"/>
        <v>53</v>
      </c>
      <c r="BI11" s="26">
        <f t="shared" si="38"/>
        <v>133</v>
      </c>
      <c r="BJ11" s="26">
        <f t="shared" si="39"/>
        <v>251</v>
      </c>
      <c r="BK11" s="34">
        <f t="shared" si="40"/>
        <v>15468</v>
      </c>
      <c r="BL11" s="31"/>
      <c r="BM11">
        <f t="shared" si="44"/>
        <v>1821</v>
      </c>
      <c r="BN11" t="s">
        <v>12</v>
      </c>
      <c r="BO11" s="8" t="str">
        <f t="shared" si="41"/>
        <v>14424,254,138,24,109,82,53,133,251,15468</v>
      </c>
      <c r="BP11"/>
      <c r="BQ11" s="9" t="str">
        <f t="shared" si="42"/>
        <v>1821 DATA 14424,254,138,24,109,82,53,133,251,15468</v>
      </c>
      <c r="BR11" s="31"/>
      <c r="BS11" s="31"/>
      <c r="BT11" s="9" t="s">
        <v>79</v>
      </c>
    </row>
    <row r="12" spans="1:72">
      <c r="A12" s="1" t="s">
        <v>58</v>
      </c>
      <c r="B12" s="3">
        <v>90</v>
      </c>
      <c r="C12" s="3">
        <v>1</v>
      </c>
      <c r="D12" s="3" t="s">
        <v>13</v>
      </c>
      <c r="E12" s="3">
        <v>98</v>
      </c>
      <c r="F12" s="3" t="s">
        <v>7</v>
      </c>
      <c r="G12" s="3">
        <v>53</v>
      </c>
      <c r="H12" s="3">
        <v>35</v>
      </c>
      <c r="I12" s="3">
        <v>85</v>
      </c>
      <c r="J12" s="3" t="s">
        <v>52</v>
      </c>
      <c r="K12" s="3" t="s">
        <v>37</v>
      </c>
      <c r="L12" s="3">
        <v>18</v>
      </c>
      <c r="M12" s="3" t="s">
        <v>7</v>
      </c>
      <c r="N12" s="3" t="s">
        <v>44</v>
      </c>
      <c r="O12" s="3">
        <v>37</v>
      </c>
      <c r="P12" s="3">
        <v>85</v>
      </c>
      <c r="Q12" s="3" t="s">
        <v>49</v>
      </c>
      <c r="S12" s="11">
        <f t="shared" si="18"/>
        <v>14432</v>
      </c>
      <c r="T12" s="16">
        <f t="shared" si="0"/>
        <v>144</v>
      </c>
      <c r="U12" s="17">
        <f t="shared" si="1"/>
        <v>1</v>
      </c>
      <c r="V12" s="17">
        <f t="shared" si="2"/>
        <v>200</v>
      </c>
      <c r="W12" s="17">
        <f t="shared" si="3"/>
        <v>152</v>
      </c>
      <c r="X12" s="17">
        <f t="shared" si="4"/>
        <v>109</v>
      </c>
      <c r="Y12" s="17">
        <f t="shared" si="5"/>
        <v>83</v>
      </c>
      <c r="Z12" s="17">
        <f t="shared" si="6"/>
        <v>53</v>
      </c>
      <c r="AA12" s="18">
        <f t="shared" si="7"/>
        <v>133</v>
      </c>
      <c r="AB12" s="25">
        <f t="shared" si="8"/>
        <v>252</v>
      </c>
      <c r="AC12" s="26">
        <f t="shared" si="9"/>
        <v>138</v>
      </c>
      <c r="AD12" s="26">
        <f t="shared" si="10"/>
        <v>24</v>
      </c>
      <c r="AE12" s="26">
        <f t="shared" si="11"/>
        <v>109</v>
      </c>
      <c r="AF12" s="26">
        <f t="shared" si="12"/>
        <v>178</v>
      </c>
      <c r="AG12" s="26">
        <f t="shared" si="13"/>
        <v>55</v>
      </c>
      <c r="AH12" s="26">
        <f t="shared" si="14"/>
        <v>133</v>
      </c>
      <c r="AI12" s="27">
        <f t="shared" si="15"/>
        <v>253</v>
      </c>
      <c r="AJ12" s="31"/>
      <c r="AK12" s="33">
        <f t="shared" si="19"/>
        <v>14432</v>
      </c>
      <c r="AL12" s="17">
        <f t="shared" si="20"/>
        <v>144</v>
      </c>
      <c r="AM12" s="17">
        <f t="shared" si="21"/>
        <v>1</v>
      </c>
      <c r="AN12" s="17">
        <f t="shared" si="22"/>
        <v>200</v>
      </c>
      <c r="AO12" s="17">
        <f t="shared" si="23"/>
        <v>152</v>
      </c>
      <c r="AP12" s="17">
        <f t="shared" si="24"/>
        <v>109</v>
      </c>
      <c r="AQ12" s="17">
        <f t="shared" si="25"/>
        <v>83</v>
      </c>
      <c r="AR12" s="17">
        <f t="shared" si="26"/>
        <v>53</v>
      </c>
      <c r="AS12" s="17">
        <f t="shared" si="27"/>
        <v>133</v>
      </c>
      <c r="AT12" s="34">
        <f t="shared" si="28"/>
        <v>15307</v>
      </c>
      <c r="AU12" s="31"/>
      <c r="AV12">
        <f t="shared" si="43"/>
        <v>1822</v>
      </c>
      <c r="AW12" t="s">
        <v>12</v>
      </c>
      <c r="AX12" s="8" t="str">
        <f t="shared" si="29"/>
        <v>14432,144,1,200,152,109,83,53,133,15307</v>
      </c>
      <c r="AY12" s="31"/>
      <c r="AZ12" s="9" t="str">
        <f t="shared" si="30"/>
        <v>1822 DATA 14432,144,1,200,152,109,83,53,133,15307</v>
      </c>
      <c r="BA12" s="31"/>
      <c r="BB12" s="33">
        <f t="shared" si="31"/>
        <v>14440</v>
      </c>
      <c r="BC12" s="26">
        <f t="shared" si="32"/>
        <v>252</v>
      </c>
      <c r="BD12" s="26">
        <f t="shared" si="33"/>
        <v>138</v>
      </c>
      <c r="BE12" s="26">
        <f t="shared" si="34"/>
        <v>24</v>
      </c>
      <c r="BF12" s="26">
        <f t="shared" si="35"/>
        <v>109</v>
      </c>
      <c r="BG12" s="26">
        <f t="shared" si="36"/>
        <v>178</v>
      </c>
      <c r="BH12" s="26">
        <f t="shared" si="37"/>
        <v>55</v>
      </c>
      <c r="BI12" s="26">
        <f t="shared" si="38"/>
        <v>133</v>
      </c>
      <c r="BJ12" s="26">
        <f t="shared" si="39"/>
        <v>253</v>
      </c>
      <c r="BK12" s="34">
        <f t="shared" si="40"/>
        <v>15582</v>
      </c>
      <c r="BL12" s="31"/>
      <c r="BM12">
        <f t="shared" si="44"/>
        <v>1823</v>
      </c>
      <c r="BN12" t="s">
        <v>12</v>
      </c>
      <c r="BO12" s="8" t="str">
        <f t="shared" si="41"/>
        <v>14440,252,138,24,109,178,55,133,253,15582</v>
      </c>
      <c r="BP12"/>
      <c r="BQ12" s="9" t="str">
        <f t="shared" si="42"/>
        <v>1823 DATA 14440,252,138,24,109,178,55,133,253,15582</v>
      </c>
      <c r="BR12" s="31"/>
      <c r="BS12" s="31"/>
      <c r="BT12" s="9" t="s">
        <v>80</v>
      </c>
    </row>
    <row r="13" spans="1:72">
      <c r="A13" s="1" t="s">
        <v>59</v>
      </c>
      <c r="B13" s="3">
        <v>90</v>
      </c>
      <c r="C13" s="3">
        <v>2</v>
      </c>
      <c r="D13" s="3" t="s">
        <v>51</v>
      </c>
      <c r="E13" s="3" t="s">
        <v>53</v>
      </c>
      <c r="F13" s="3" t="s">
        <v>60</v>
      </c>
      <c r="G13" s="3" t="s">
        <v>53</v>
      </c>
      <c r="H13" s="3" t="s">
        <v>7</v>
      </c>
      <c r="I13" s="3" t="s">
        <v>43</v>
      </c>
      <c r="J13" s="3">
        <v>37</v>
      </c>
      <c r="K13" s="3">
        <v>85</v>
      </c>
      <c r="L13" s="3" t="s">
        <v>53</v>
      </c>
      <c r="M13" s="3" t="s">
        <v>18</v>
      </c>
      <c r="N13" s="3" t="s">
        <v>38</v>
      </c>
      <c r="O13" s="3">
        <v>37</v>
      </c>
      <c r="P13" s="3" t="s">
        <v>19</v>
      </c>
      <c r="Q13" s="3" t="s">
        <v>5</v>
      </c>
      <c r="S13" s="11">
        <f t="shared" si="18"/>
        <v>14448</v>
      </c>
      <c r="T13" s="16">
        <f t="shared" si="0"/>
        <v>144</v>
      </c>
      <c r="U13" s="17">
        <f t="shared" si="1"/>
        <v>2</v>
      </c>
      <c r="V13" s="17">
        <f t="shared" si="2"/>
        <v>230</v>
      </c>
      <c r="W13" s="17">
        <f t="shared" si="3"/>
        <v>254</v>
      </c>
      <c r="X13" s="17">
        <f t="shared" si="4"/>
        <v>165</v>
      </c>
      <c r="Y13" s="17">
        <f t="shared" si="5"/>
        <v>254</v>
      </c>
      <c r="Z13" s="17">
        <f t="shared" si="6"/>
        <v>109</v>
      </c>
      <c r="AA13" s="18">
        <f t="shared" si="7"/>
        <v>179</v>
      </c>
      <c r="AB13" s="25">
        <f t="shared" si="8"/>
        <v>55</v>
      </c>
      <c r="AC13" s="26">
        <f t="shared" si="9"/>
        <v>133</v>
      </c>
      <c r="AD13" s="26">
        <f t="shared" si="10"/>
        <v>254</v>
      </c>
      <c r="AE13" s="26">
        <f t="shared" si="11"/>
        <v>174</v>
      </c>
      <c r="AF13" s="26">
        <f t="shared" si="12"/>
        <v>177</v>
      </c>
      <c r="AG13" s="26">
        <f t="shared" si="13"/>
        <v>55</v>
      </c>
      <c r="AH13" s="26">
        <f t="shared" si="14"/>
        <v>160</v>
      </c>
      <c r="AI13" s="27">
        <f t="shared" si="15"/>
        <v>255</v>
      </c>
      <c r="AJ13" s="31"/>
      <c r="AK13" s="33">
        <f t="shared" si="19"/>
        <v>14448</v>
      </c>
      <c r="AL13" s="17">
        <f t="shared" si="20"/>
        <v>144</v>
      </c>
      <c r="AM13" s="17">
        <f t="shared" si="21"/>
        <v>2</v>
      </c>
      <c r="AN13" s="17">
        <f t="shared" si="22"/>
        <v>230</v>
      </c>
      <c r="AO13" s="17">
        <f t="shared" si="23"/>
        <v>254</v>
      </c>
      <c r="AP13" s="17">
        <f t="shared" si="24"/>
        <v>165</v>
      </c>
      <c r="AQ13" s="17">
        <f t="shared" si="25"/>
        <v>254</v>
      </c>
      <c r="AR13" s="17">
        <f t="shared" si="26"/>
        <v>109</v>
      </c>
      <c r="AS13" s="17">
        <f t="shared" si="27"/>
        <v>179</v>
      </c>
      <c r="AT13" s="34">
        <f t="shared" si="28"/>
        <v>15785</v>
      </c>
      <c r="AU13" s="31"/>
      <c r="AV13">
        <f t="shared" si="43"/>
        <v>1824</v>
      </c>
      <c r="AW13" t="s">
        <v>12</v>
      </c>
      <c r="AX13" s="8" t="str">
        <f t="shared" si="29"/>
        <v>14448,144,2,230,254,165,254,109,179,15785</v>
      </c>
      <c r="AY13" s="31"/>
      <c r="AZ13" s="9" t="str">
        <f t="shared" si="30"/>
        <v>1824 DATA 14448,144,2,230,254,165,254,109,179,15785</v>
      </c>
      <c r="BA13" s="31"/>
      <c r="BB13" s="33">
        <f t="shared" si="31"/>
        <v>14456</v>
      </c>
      <c r="BC13" s="26">
        <f t="shared" si="32"/>
        <v>55</v>
      </c>
      <c r="BD13" s="26">
        <f t="shared" si="33"/>
        <v>133</v>
      </c>
      <c r="BE13" s="26">
        <f t="shared" si="34"/>
        <v>254</v>
      </c>
      <c r="BF13" s="26">
        <f t="shared" si="35"/>
        <v>174</v>
      </c>
      <c r="BG13" s="26">
        <f t="shared" si="36"/>
        <v>177</v>
      </c>
      <c r="BH13" s="26">
        <f t="shared" si="37"/>
        <v>55</v>
      </c>
      <c r="BI13" s="26">
        <f t="shared" si="38"/>
        <v>160</v>
      </c>
      <c r="BJ13" s="26">
        <f t="shared" si="39"/>
        <v>255</v>
      </c>
      <c r="BK13" s="34">
        <f t="shared" si="40"/>
        <v>15719</v>
      </c>
      <c r="BL13" s="31"/>
      <c r="BM13">
        <f t="shared" si="44"/>
        <v>1825</v>
      </c>
      <c r="BN13" t="s">
        <v>12</v>
      </c>
      <c r="BO13" s="8" t="str">
        <f t="shared" si="41"/>
        <v>14456,55,133,254,174,177,55,160,255,15719</v>
      </c>
      <c r="BP13"/>
      <c r="BQ13" s="9" t="str">
        <f t="shared" si="42"/>
        <v>1825 DATA 14456,55,133,254,174,177,55,160,255,15719</v>
      </c>
      <c r="BR13" s="31"/>
      <c r="BS13" s="31"/>
      <c r="BT13" s="9" t="s">
        <v>81</v>
      </c>
    </row>
    <row r="14" spans="1:72">
      <c r="A14" s="1" t="s">
        <v>61</v>
      </c>
      <c r="B14" s="3" t="s">
        <v>38</v>
      </c>
      <c r="C14" s="3" t="s">
        <v>40</v>
      </c>
      <c r="D14" s="3">
        <v>91</v>
      </c>
      <c r="E14" s="3" t="s">
        <v>49</v>
      </c>
      <c r="F14" s="3">
        <v>88</v>
      </c>
      <c r="G14" s="3" t="s">
        <v>25</v>
      </c>
      <c r="H14" s="3" t="s">
        <v>41</v>
      </c>
      <c r="I14" s="3" t="s">
        <v>38</v>
      </c>
      <c r="J14" s="3" t="s">
        <v>40</v>
      </c>
      <c r="K14" s="3">
        <v>91</v>
      </c>
      <c r="L14" s="3" t="s">
        <v>49</v>
      </c>
      <c r="M14" s="3" t="s">
        <v>27</v>
      </c>
      <c r="N14" s="3" t="s">
        <v>52</v>
      </c>
      <c r="O14" s="3" t="s">
        <v>27</v>
      </c>
      <c r="P14" s="3" t="s">
        <v>53</v>
      </c>
      <c r="Q14" s="3" t="s">
        <v>22</v>
      </c>
      <c r="S14" s="11">
        <f t="shared" si="18"/>
        <v>14464</v>
      </c>
      <c r="T14" s="16">
        <f t="shared" si="0"/>
        <v>177</v>
      </c>
      <c r="U14" s="17">
        <f t="shared" si="1"/>
        <v>251</v>
      </c>
      <c r="V14" s="17">
        <f t="shared" si="2"/>
        <v>145</v>
      </c>
      <c r="W14" s="17">
        <f t="shared" si="3"/>
        <v>253</v>
      </c>
      <c r="X14" s="17">
        <f t="shared" si="4"/>
        <v>136</v>
      </c>
      <c r="Y14" s="17">
        <f t="shared" si="5"/>
        <v>208</v>
      </c>
      <c r="Z14" s="17">
        <f t="shared" si="6"/>
        <v>249</v>
      </c>
      <c r="AA14" s="18">
        <f t="shared" si="7"/>
        <v>177</v>
      </c>
      <c r="AB14" s="25">
        <f t="shared" si="8"/>
        <v>251</v>
      </c>
      <c r="AC14" s="26">
        <f t="shared" si="9"/>
        <v>145</v>
      </c>
      <c r="AD14" s="26">
        <f t="shared" si="10"/>
        <v>253</v>
      </c>
      <c r="AE14" s="26">
        <f t="shared" si="11"/>
        <v>198</v>
      </c>
      <c r="AF14" s="26">
        <f t="shared" si="12"/>
        <v>252</v>
      </c>
      <c r="AG14" s="26">
        <f t="shared" si="13"/>
        <v>198</v>
      </c>
      <c r="AH14" s="26">
        <f t="shared" si="14"/>
        <v>254</v>
      </c>
      <c r="AI14" s="27">
        <f t="shared" si="15"/>
        <v>202</v>
      </c>
      <c r="AJ14" s="31"/>
      <c r="AK14" s="33">
        <f t="shared" si="19"/>
        <v>14464</v>
      </c>
      <c r="AL14" s="17">
        <f t="shared" si="20"/>
        <v>177</v>
      </c>
      <c r="AM14" s="17">
        <f t="shared" si="21"/>
        <v>251</v>
      </c>
      <c r="AN14" s="17">
        <f t="shared" si="22"/>
        <v>145</v>
      </c>
      <c r="AO14" s="17">
        <f t="shared" si="23"/>
        <v>253</v>
      </c>
      <c r="AP14" s="17">
        <f t="shared" si="24"/>
        <v>136</v>
      </c>
      <c r="AQ14" s="17">
        <f t="shared" si="25"/>
        <v>208</v>
      </c>
      <c r="AR14" s="17">
        <f t="shared" si="26"/>
        <v>249</v>
      </c>
      <c r="AS14" s="17">
        <f t="shared" si="27"/>
        <v>177</v>
      </c>
      <c r="AT14" s="34">
        <f t="shared" si="28"/>
        <v>16060</v>
      </c>
      <c r="AU14" s="31"/>
      <c r="AV14">
        <f t="shared" si="43"/>
        <v>1826</v>
      </c>
      <c r="AW14" t="s">
        <v>12</v>
      </c>
      <c r="AX14" s="8" t="str">
        <f t="shared" si="29"/>
        <v>14464,177,251,145,253,136,208,249,177,16060</v>
      </c>
      <c r="AY14" s="31"/>
      <c r="AZ14" s="9" t="str">
        <f t="shared" si="30"/>
        <v>1826 DATA 14464,177,251,145,253,136,208,249,177,16060</v>
      </c>
      <c r="BA14" s="31"/>
      <c r="BB14" s="33">
        <f t="shared" si="31"/>
        <v>14472</v>
      </c>
      <c r="BC14" s="26">
        <f t="shared" si="32"/>
        <v>251</v>
      </c>
      <c r="BD14" s="26">
        <f t="shared" si="33"/>
        <v>145</v>
      </c>
      <c r="BE14" s="26">
        <f t="shared" si="34"/>
        <v>253</v>
      </c>
      <c r="BF14" s="26">
        <f t="shared" si="35"/>
        <v>198</v>
      </c>
      <c r="BG14" s="26">
        <f t="shared" si="36"/>
        <v>252</v>
      </c>
      <c r="BH14" s="26">
        <f t="shared" si="37"/>
        <v>198</v>
      </c>
      <c r="BI14" s="26">
        <f t="shared" si="38"/>
        <v>254</v>
      </c>
      <c r="BJ14" s="26">
        <f t="shared" si="39"/>
        <v>202</v>
      </c>
      <c r="BK14" s="34">
        <f t="shared" si="40"/>
        <v>16225</v>
      </c>
      <c r="BL14" s="31"/>
      <c r="BM14">
        <f t="shared" si="44"/>
        <v>1827</v>
      </c>
      <c r="BN14" t="s">
        <v>12</v>
      </c>
      <c r="BO14" s="8" t="str">
        <f t="shared" si="41"/>
        <v>14472,251,145,253,198,252,198,254,202,16225</v>
      </c>
      <c r="BP14"/>
      <c r="BQ14" s="9" t="str">
        <f t="shared" si="42"/>
        <v>1827 DATA 14472,251,145,253,198,252,198,254,202,16225</v>
      </c>
      <c r="BR14" s="31"/>
      <c r="BS14" s="31"/>
      <c r="BT14" s="9" t="s">
        <v>82</v>
      </c>
    </row>
    <row r="15" spans="1:72">
      <c r="A15" s="1" t="s">
        <v>62</v>
      </c>
      <c r="B15" s="3" t="s">
        <v>25</v>
      </c>
      <c r="C15" s="3" t="s">
        <v>63</v>
      </c>
      <c r="D15" s="3">
        <v>20</v>
      </c>
      <c r="E15" s="3" t="s">
        <v>48</v>
      </c>
      <c r="F15" s="3">
        <v>38</v>
      </c>
      <c r="G15" s="3" t="s">
        <v>8</v>
      </c>
      <c r="H15" s="3" t="s">
        <v>30</v>
      </c>
      <c r="I15" s="3">
        <v>37</v>
      </c>
      <c r="J15" s="3" t="s">
        <v>38</v>
      </c>
      <c r="K15" s="3" t="s">
        <v>40</v>
      </c>
      <c r="L15" s="3">
        <v>91</v>
      </c>
      <c r="M15" s="3" t="s">
        <v>49</v>
      </c>
      <c r="N15" s="3">
        <v>88</v>
      </c>
      <c r="O15" s="3" t="s">
        <v>28</v>
      </c>
      <c r="P15" s="3" t="s">
        <v>5</v>
      </c>
      <c r="Q15" s="3" t="s">
        <v>25</v>
      </c>
      <c r="S15" s="11">
        <f t="shared" si="18"/>
        <v>14480</v>
      </c>
      <c r="T15" s="16">
        <f t="shared" si="0"/>
        <v>208</v>
      </c>
      <c r="U15" s="17">
        <f t="shared" si="1"/>
        <v>236</v>
      </c>
      <c r="V15" s="17">
        <f t="shared" si="2"/>
        <v>32</v>
      </c>
      <c r="W15" s="17">
        <f t="shared" si="3"/>
        <v>164</v>
      </c>
      <c r="X15" s="17">
        <f t="shared" si="4"/>
        <v>56</v>
      </c>
      <c r="Y15" s="17">
        <f t="shared" si="5"/>
        <v>172</v>
      </c>
      <c r="Z15" s="17">
        <f t="shared" si="6"/>
        <v>176</v>
      </c>
      <c r="AA15" s="18">
        <f t="shared" si="7"/>
        <v>55</v>
      </c>
      <c r="AB15" s="25">
        <f t="shared" si="8"/>
        <v>177</v>
      </c>
      <c r="AC15" s="26">
        <f t="shared" si="9"/>
        <v>251</v>
      </c>
      <c r="AD15" s="26">
        <f t="shared" si="10"/>
        <v>145</v>
      </c>
      <c r="AE15" s="26">
        <f t="shared" si="11"/>
        <v>253</v>
      </c>
      <c r="AF15" s="26">
        <f t="shared" si="12"/>
        <v>136</v>
      </c>
      <c r="AG15" s="26">
        <f t="shared" si="13"/>
        <v>192</v>
      </c>
      <c r="AH15" s="26">
        <f t="shared" si="14"/>
        <v>255</v>
      </c>
      <c r="AI15" s="27">
        <f t="shared" si="15"/>
        <v>208</v>
      </c>
      <c r="AJ15" s="31"/>
      <c r="AK15" s="33">
        <f t="shared" si="19"/>
        <v>14480</v>
      </c>
      <c r="AL15" s="17">
        <f t="shared" si="20"/>
        <v>208</v>
      </c>
      <c r="AM15" s="17">
        <f t="shared" si="21"/>
        <v>236</v>
      </c>
      <c r="AN15" s="17">
        <f t="shared" si="22"/>
        <v>32</v>
      </c>
      <c r="AO15" s="17">
        <f t="shared" si="23"/>
        <v>164</v>
      </c>
      <c r="AP15" s="17">
        <f t="shared" si="24"/>
        <v>56</v>
      </c>
      <c r="AQ15" s="17">
        <f t="shared" si="25"/>
        <v>172</v>
      </c>
      <c r="AR15" s="17">
        <f t="shared" si="26"/>
        <v>176</v>
      </c>
      <c r="AS15" s="17">
        <f t="shared" si="27"/>
        <v>55</v>
      </c>
      <c r="AT15" s="34">
        <f t="shared" si="28"/>
        <v>15579</v>
      </c>
      <c r="AU15" s="31"/>
      <c r="AV15">
        <f t="shared" si="43"/>
        <v>1828</v>
      </c>
      <c r="AW15" t="s">
        <v>12</v>
      </c>
      <c r="AX15" s="8" t="str">
        <f t="shared" si="29"/>
        <v>14480,208,236,32,164,56,172,176,55,15579</v>
      </c>
      <c r="AY15" s="31"/>
      <c r="AZ15" s="9" t="str">
        <f t="shared" si="30"/>
        <v>1828 DATA 14480,208,236,32,164,56,172,176,55,15579</v>
      </c>
      <c r="BA15" s="31"/>
      <c r="BB15" s="33">
        <f t="shared" si="31"/>
        <v>14488</v>
      </c>
      <c r="BC15" s="26">
        <f t="shared" si="32"/>
        <v>177</v>
      </c>
      <c r="BD15" s="26">
        <f t="shared" si="33"/>
        <v>251</v>
      </c>
      <c r="BE15" s="26">
        <f t="shared" si="34"/>
        <v>145</v>
      </c>
      <c r="BF15" s="26">
        <f t="shared" si="35"/>
        <v>253</v>
      </c>
      <c r="BG15" s="26">
        <f t="shared" si="36"/>
        <v>136</v>
      </c>
      <c r="BH15" s="26">
        <f t="shared" si="37"/>
        <v>192</v>
      </c>
      <c r="BI15" s="26">
        <f t="shared" si="38"/>
        <v>255</v>
      </c>
      <c r="BJ15" s="26">
        <f t="shared" si="39"/>
        <v>208</v>
      </c>
      <c r="BK15" s="34">
        <f t="shared" si="40"/>
        <v>16105</v>
      </c>
      <c r="BL15" s="31"/>
      <c r="BM15">
        <f t="shared" si="44"/>
        <v>1829</v>
      </c>
      <c r="BN15" t="s">
        <v>12</v>
      </c>
      <c r="BO15" s="8" t="str">
        <f t="shared" si="41"/>
        <v>14488,177,251,145,253,136,192,255,208,16105</v>
      </c>
      <c r="BP15"/>
      <c r="BQ15" s="9" t="str">
        <f t="shared" si="42"/>
        <v>1829 DATA 14488,177,251,145,253,136,192,255,208,16105</v>
      </c>
      <c r="BR15" s="31"/>
      <c r="BS15" s="31"/>
      <c r="BT15" s="9" t="s">
        <v>83</v>
      </c>
    </row>
    <row r="16" spans="1:72">
      <c r="A16" s="1" t="s">
        <v>64</v>
      </c>
      <c r="B16" s="3" t="s">
        <v>46</v>
      </c>
      <c r="C16" s="3" t="s">
        <v>2</v>
      </c>
      <c r="D16" s="3">
        <v>11</v>
      </c>
      <c r="E16" s="3">
        <v>38</v>
      </c>
      <c r="F16" s="3" t="s">
        <v>20</v>
      </c>
      <c r="G16" s="3">
        <v>52</v>
      </c>
      <c r="H16" s="3">
        <v>35</v>
      </c>
      <c r="I16" s="3">
        <v>85</v>
      </c>
      <c r="J16" s="3" t="s">
        <v>40</v>
      </c>
      <c r="K16" s="3" t="s">
        <v>20</v>
      </c>
      <c r="L16" s="3">
        <v>53</v>
      </c>
      <c r="M16" s="3">
        <v>35</v>
      </c>
      <c r="N16" s="3">
        <v>85</v>
      </c>
      <c r="O16" s="3" t="s">
        <v>52</v>
      </c>
      <c r="P16" s="3" t="s">
        <v>20</v>
      </c>
      <c r="Q16" s="3" t="s">
        <v>44</v>
      </c>
      <c r="S16" s="11">
        <f t="shared" si="18"/>
        <v>14496</v>
      </c>
      <c r="T16" s="16">
        <f t="shared" si="0"/>
        <v>247</v>
      </c>
      <c r="U16" s="17">
        <f t="shared" si="1"/>
        <v>76</v>
      </c>
      <c r="V16" s="17">
        <f t="shared" si="2"/>
        <v>17</v>
      </c>
      <c r="W16" s="17">
        <f t="shared" si="3"/>
        <v>56</v>
      </c>
      <c r="X16" s="17">
        <f t="shared" si="4"/>
        <v>173</v>
      </c>
      <c r="Y16" s="17">
        <f t="shared" si="5"/>
        <v>82</v>
      </c>
      <c r="Z16" s="17">
        <f t="shared" si="6"/>
        <v>53</v>
      </c>
      <c r="AA16" s="18">
        <f t="shared" si="7"/>
        <v>133</v>
      </c>
      <c r="AB16" s="25">
        <f t="shared" si="8"/>
        <v>251</v>
      </c>
      <c r="AC16" s="26">
        <f t="shared" si="9"/>
        <v>173</v>
      </c>
      <c r="AD16" s="26">
        <f t="shared" si="10"/>
        <v>83</v>
      </c>
      <c r="AE16" s="26">
        <f t="shared" si="11"/>
        <v>53</v>
      </c>
      <c r="AF16" s="26">
        <f t="shared" si="12"/>
        <v>133</v>
      </c>
      <c r="AG16" s="26">
        <f t="shared" si="13"/>
        <v>252</v>
      </c>
      <c r="AH16" s="26">
        <f t="shared" si="14"/>
        <v>173</v>
      </c>
      <c r="AI16" s="27">
        <f t="shared" si="15"/>
        <v>178</v>
      </c>
      <c r="AJ16" s="31"/>
      <c r="AK16" s="33">
        <f t="shared" si="19"/>
        <v>14496</v>
      </c>
      <c r="AL16" s="17">
        <f t="shared" si="20"/>
        <v>247</v>
      </c>
      <c r="AM16" s="17">
        <f t="shared" si="21"/>
        <v>76</v>
      </c>
      <c r="AN16" s="17">
        <f t="shared" si="22"/>
        <v>17</v>
      </c>
      <c r="AO16" s="17">
        <f t="shared" si="23"/>
        <v>56</v>
      </c>
      <c r="AP16" s="17">
        <f t="shared" si="24"/>
        <v>173</v>
      </c>
      <c r="AQ16" s="17">
        <f t="shared" si="25"/>
        <v>82</v>
      </c>
      <c r="AR16" s="17">
        <f t="shared" si="26"/>
        <v>53</v>
      </c>
      <c r="AS16" s="17">
        <f t="shared" si="27"/>
        <v>133</v>
      </c>
      <c r="AT16" s="34">
        <f t="shared" si="28"/>
        <v>15333</v>
      </c>
      <c r="AU16" s="31"/>
      <c r="AV16">
        <f t="shared" si="43"/>
        <v>1830</v>
      </c>
      <c r="AW16" t="s">
        <v>12</v>
      </c>
      <c r="AX16" s="8" t="str">
        <f t="shared" si="29"/>
        <v>14496,247,76,17,56,173,82,53,133,15333</v>
      </c>
      <c r="AY16" s="31"/>
      <c r="AZ16" s="9" t="str">
        <f t="shared" si="30"/>
        <v>1830 DATA 14496,247,76,17,56,173,82,53,133,15333</v>
      </c>
      <c r="BA16" s="31"/>
      <c r="BB16" s="33">
        <f t="shared" si="31"/>
        <v>14504</v>
      </c>
      <c r="BC16" s="26">
        <f t="shared" si="32"/>
        <v>251</v>
      </c>
      <c r="BD16" s="26">
        <f t="shared" si="33"/>
        <v>173</v>
      </c>
      <c r="BE16" s="26">
        <f t="shared" si="34"/>
        <v>83</v>
      </c>
      <c r="BF16" s="26">
        <f t="shared" si="35"/>
        <v>53</v>
      </c>
      <c r="BG16" s="26">
        <f t="shared" si="36"/>
        <v>133</v>
      </c>
      <c r="BH16" s="26">
        <f t="shared" si="37"/>
        <v>252</v>
      </c>
      <c r="BI16" s="26">
        <f t="shared" si="38"/>
        <v>173</v>
      </c>
      <c r="BJ16" s="26">
        <f t="shared" si="39"/>
        <v>178</v>
      </c>
      <c r="BK16" s="34">
        <f t="shared" si="40"/>
        <v>15800</v>
      </c>
      <c r="BL16" s="31"/>
      <c r="BM16">
        <f t="shared" si="44"/>
        <v>1831</v>
      </c>
      <c r="BN16" t="s">
        <v>12</v>
      </c>
      <c r="BO16" s="8" t="str">
        <f t="shared" si="41"/>
        <v>14504,251,173,83,53,133,252,173,178,15800</v>
      </c>
      <c r="BP16"/>
      <c r="BQ16" s="9" t="str">
        <f t="shared" si="42"/>
        <v>1831 DATA 14504,251,173,83,53,133,252,173,178,15800</v>
      </c>
      <c r="BR16" s="31"/>
      <c r="BS16" s="31"/>
      <c r="BT16" s="9" t="s">
        <v>84</v>
      </c>
    </row>
    <row r="17" spans="1:72">
      <c r="A17" s="1" t="s">
        <v>68</v>
      </c>
      <c r="B17" s="3">
        <v>37</v>
      </c>
      <c r="C17" s="3">
        <v>85</v>
      </c>
      <c r="D17" s="3" t="s">
        <v>49</v>
      </c>
      <c r="E17" s="3" t="s">
        <v>20</v>
      </c>
      <c r="F17" s="3" t="s">
        <v>43</v>
      </c>
      <c r="G17" s="3">
        <v>37</v>
      </c>
      <c r="H17" s="3">
        <v>85</v>
      </c>
      <c r="I17" s="3" t="s">
        <v>53</v>
      </c>
      <c r="J17" s="3">
        <v>60</v>
      </c>
      <c r="K17" s="3">
        <v>20</v>
      </c>
      <c r="L17" s="3">
        <v>8</v>
      </c>
      <c r="M17" s="3">
        <v>34</v>
      </c>
      <c r="N17" s="3">
        <v>20</v>
      </c>
      <c r="O17" s="3" t="s">
        <v>15</v>
      </c>
      <c r="P17" s="3">
        <v>34</v>
      </c>
      <c r="Q17" s="3" t="s">
        <v>0</v>
      </c>
      <c r="S17" s="11">
        <f t="shared" si="18"/>
        <v>14512</v>
      </c>
      <c r="T17" s="16">
        <f t="shared" si="0"/>
        <v>55</v>
      </c>
      <c r="U17" s="17">
        <f t="shared" si="1"/>
        <v>133</v>
      </c>
      <c r="V17" s="17">
        <f t="shared" si="2"/>
        <v>253</v>
      </c>
      <c r="W17" s="17">
        <f t="shared" si="3"/>
        <v>173</v>
      </c>
      <c r="X17" s="17">
        <f t="shared" si="4"/>
        <v>179</v>
      </c>
      <c r="Y17" s="17">
        <f t="shared" si="5"/>
        <v>55</v>
      </c>
      <c r="Z17" s="17">
        <f t="shared" si="6"/>
        <v>133</v>
      </c>
      <c r="AA17" s="18">
        <f t="shared" si="7"/>
        <v>254</v>
      </c>
      <c r="AB17" s="25">
        <f t="shared" si="8"/>
        <v>96</v>
      </c>
      <c r="AC17" s="26">
        <f t="shared" si="9"/>
        <v>32</v>
      </c>
      <c r="AD17" s="26">
        <f t="shared" si="10"/>
        <v>8</v>
      </c>
      <c r="AE17" s="26">
        <f t="shared" si="11"/>
        <v>52</v>
      </c>
      <c r="AF17" s="26">
        <f t="shared" si="12"/>
        <v>32</v>
      </c>
      <c r="AG17" s="26">
        <f t="shared" si="13"/>
        <v>228</v>
      </c>
      <c r="AH17" s="26">
        <f t="shared" si="14"/>
        <v>52</v>
      </c>
      <c r="AI17" s="27">
        <f t="shared" si="15"/>
        <v>127</v>
      </c>
      <c r="AJ17" s="31"/>
      <c r="AK17" s="33">
        <f t="shared" si="19"/>
        <v>14512</v>
      </c>
      <c r="AL17" s="17">
        <f t="shared" si="20"/>
        <v>55</v>
      </c>
      <c r="AM17" s="17">
        <f t="shared" si="21"/>
        <v>133</v>
      </c>
      <c r="AN17" s="17">
        <f t="shared" si="22"/>
        <v>253</v>
      </c>
      <c r="AO17" s="17">
        <f t="shared" si="23"/>
        <v>173</v>
      </c>
      <c r="AP17" s="17">
        <f t="shared" si="24"/>
        <v>179</v>
      </c>
      <c r="AQ17" s="17">
        <f t="shared" si="25"/>
        <v>55</v>
      </c>
      <c r="AR17" s="17">
        <f t="shared" si="26"/>
        <v>133</v>
      </c>
      <c r="AS17" s="17">
        <f t="shared" si="27"/>
        <v>254</v>
      </c>
      <c r="AT17" s="34">
        <f t="shared" si="28"/>
        <v>15747</v>
      </c>
      <c r="AU17" s="31"/>
      <c r="AV17">
        <f t="shared" si="43"/>
        <v>1832</v>
      </c>
      <c r="AW17" t="s">
        <v>12</v>
      </c>
      <c r="AX17" s="8" t="str">
        <f t="shared" si="29"/>
        <v>14512,55,133,253,173,179,55,133,254,15747</v>
      </c>
      <c r="AY17" s="31"/>
      <c r="AZ17" s="9" t="str">
        <f t="shared" si="30"/>
        <v>1832 DATA 14512,55,133,253,173,179,55,133,254,15747</v>
      </c>
      <c r="BA17" s="31"/>
      <c r="BB17" s="33">
        <f t="shared" si="31"/>
        <v>14520</v>
      </c>
      <c r="BC17" s="26">
        <f t="shared" si="32"/>
        <v>96</v>
      </c>
      <c r="BD17" s="26">
        <f t="shared" si="33"/>
        <v>32</v>
      </c>
      <c r="BE17" s="26">
        <f t="shared" si="34"/>
        <v>8</v>
      </c>
      <c r="BF17" s="26">
        <f t="shared" si="35"/>
        <v>52</v>
      </c>
      <c r="BG17" s="26">
        <f t="shared" si="36"/>
        <v>32</v>
      </c>
      <c r="BH17" s="26">
        <f t="shared" si="37"/>
        <v>228</v>
      </c>
      <c r="BI17" s="26">
        <f t="shared" si="38"/>
        <v>52</v>
      </c>
      <c r="BJ17" s="26">
        <f t="shared" si="39"/>
        <v>127</v>
      </c>
      <c r="BK17" s="34">
        <f t="shared" si="40"/>
        <v>15147</v>
      </c>
      <c r="BL17" s="31"/>
      <c r="BM17">
        <f t="shared" si="44"/>
        <v>1833</v>
      </c>
      <c r="BN17" t="s">
        <v>12</v>
      </c>
      <c r="BO17" s="8" t="str">
        <f t="shared" si="41"/>
        <v>14520,96,32,8,52,32,228,52,127,15147</v>
      </c>
      <c r="BP17"/>
      <c r="BQ17" s="9" t="str">
        <f t="shared" si="42"/>
        <v>1833 DATA 14520,96,32,8,52,32,228,52,127,15147</v>
      </c>
      <c r="BR17" s="31"/>
      <c r="BS17" s="31"/>
      <c r="BT17" s="9" t="s">
        <v>85</v>
      </c>
    </row>
    <row r="18" spans="1:72">
      <c r="A18" s="1" t="s">
        <v>65</v>
      </c>
      <c r="B18" s="3" t="s">
        <v>16</v>
      </c>
      <c r="C18" s="3" t="s">
        <v>6</v>
      </c>
      <c r="D18" s="3">
        <v>53</v>
      </c>
      <c r="E18" s="3">
        <v>45</v>
      </c>
      <c r="F18" s="3">
        <v>54</v>
      </c>
      <c r="G18" s="3">
        <v>20</v>
      </c>
      <c r="H18" s="3">
        <v>44</v>
      </c>
      <c r="I18" s="3">
        <v>45</v>
      </c>
      <c r="J18" s="3">
        <v>53</v>
      </c>
      <c r="K18" s="3">
        <v>54</v>
      </c>
      <c r="L18" s="3">
        <v>49</v>
      </c>
      <c r="M18" s="3" t="s">
        <v>1</v>
      </c>
      <c r="N18" s="3">
        <v>41</v>
      </c>
      <c r="O18" s="3">
        <v>54</v>
      </c>
      <c r="P18" s="3">
        <v>49</v>
      </c>
      <c r="Q18" s="3" t="s">
        <v>4</v>
      </c>
      <c r="S18" s="11">
        <f t="shared" si="18"/>
        <v>14528</v>
      </c>
      <c r="T18" s="16">
        <f t="shared" si="0"/>
        <v>13</v>
      </c>
      <c r="U18" s="17">
        <f t="shared" si="1"/>
        <v>10</v>
      </c>
      <c r="V18" s="17">
        <f t="shared" si="2"/>
        <v>83</v>
      </c>
      <c r="W18" s="17">
        <f t="shared" si="3"/>
        <v>69</v>
      </c>
      <c r="X18" s="17">
        <f t="shared" si="4"/>
        <v>84</v>
      </c>
      <c r="Y18" s="17">
        <f t="shared" si="5"/>
        <v>32</v>
      </c>
      <c r="Z18" s="17">
        <f t="shared" si="6"/>
        <v>68</v>
      </c>
      <c r="AA18" s="18">
        <f t="shared" si="7"/>
        <v>69</v>
      </c>
      <c r="AB18" s="25">
        <f t="shared" si="8"/>
        <v>83</v>
      </c>
      <c r="AC18" s="26">
        <f t="shared" si="9"/>
        <v>84</v>
      </c>
      <c r="AD18" s="26">
        <f t="shared" si="10"/>
        <v>73</v>
      </c>
      <c r="AE18" s="26">
        <f t="shared" si="11"/>
        <v>78</v>
      </c>
      <c r="AF18" s="26">
        <f t="shared" si="12"/>
        <v>65</v>
      </c>
      <c r="AG18" s="26">
        <f t="shared" si="13"/>
        <v>84</v>
      </c>
      <c r="AH18" s="26">
        <f t="shared" si="14"/>
        <v>73</v>
      </c>
      <c r="AI18" s="27">
        <f t="shared" si="15"/>
        <v>79</v>
      </c>
      <c r="AJ18" s="31"/>
      <c r="AK18" s="33">
        <f t="shared" si="19"/>
        <v>14528</v>
      </c>
      <c r="AL18" s="17">
        <f t="shared" si="20"/>
        <v>13</v>
      </c>
      <c r="AM18" s="17">
        <f t="shared" si="21"/>
        <v>10</v>
      </c>
      <c r="AN18" s="17">
        <f t="shared" si="22"/>
        <v>83</v>
      </c>
      <c r="AO18" s="17">
        <f t="shared" si="23"/>
        <v>69</v>
      </c>
      <c r="AP18" s="17">
        <f t="shared" si="24"/>
        <v>84</v>
      </c>
      <c r="AQ18" s="17">
        <f t="shared" si="25"/>
        <v>32</v>
      </c>
      <c r="AR18" s="17">
        <f t="shared" si="26"/>
        <v>68</v>
      </c>
      <c r="AS18" s="17">
        <f t="shared" si="27"/>
        <v>69</v>
      </c>
      <c r="AT18" s="34">
        <f t="shared" si="28"/>
        <v>14956</v>
      </c>
      <c r="AU18" s="31"/>
      <c r="AV18">
        <f t="shared" si="43"/>
        <v>1834</v>
      </c>
      <c r="AW18" t="s">
        <v>12</v>
      </c>
      <c r="AX18" s="8" t="str">
        <f t="shared" si="29"/>
        <v>14528,13,10,83,69,84,32,68,69,14956</v>
      </c>
      <c r="AY18" s="31"/>
      <c r="AZ18" s="9" t="str">
        <f t="shared" si="30"/>
        <v>1834 DATA 14528,13,10,83,69,84,32,68,69,14956</v>
      </c>
      <c r="BA18" s="31"/>
      <c r="BB18" s="33">
        <f t="shared" si="31"/>
        <v>14536</v>
      </c>
      <c r="BC18" s="26">
        <f t="shared" si="32"/>
        <v>83</v>
      </c>
      <c r="BD18" s="26">
        <f t="shared" si="33"/>
        <v>84</v>
      </c>
      <c r="BE18" s="26">
        <f t="shared" si="34"/>
        <v>73</v>
      </c>
      <c r="BF18" s="26">
        <f t="shared" si="35"/>
        <v>78</v>
      </c>
      <c r="BG18" s="26">
        <f t="shared" si="36"/>
        <v>65</v>
      </c>
      <c r="BH18" s="26">
        <f t="shared" si="37"/>
        <v>84</v>
      </c>
      <c r="BI18" s="26">
        <f t="shared" si="38"/>
        <v>73</v>
      </c>
      <c r="BJ18" s="26">
        <f t="shared" si="39"/>
        <v>79</v>
      </c>
      <c r="BK18" s="34">
        <f t="shared" si="40"/>
        <v>15155</v>
      </c>
      <c r="BL18" s="31"/>
      <c r="BM18">
        <f t="shared" si="44"/>
        <v>1835</v>
      </c>
      <c r="BN18" t="s">
        <v>12</v>
      </c>
      <c r="BO18" s="8" t="str">
        <f t="shared" si="41"/>
        <v>14536,83,84,73,78,65,84,73,79,15155</v>
      </c>
      <c r="BP18"/>
      <c r="BQ18" s="9" t="str">
        <f t="shared" si="42"/>
        <v>1835 DATA 14536,83,84,73,78,65,84,73,79,15155</v>
      </c>
      <c r="BR18" s="31"/>
      <c r="BS18" s="31"/>
      <c r="BT18" s="9" t="s">
        <v>86</v>
      </c>
    </row>
    <row r="19" spans="1:72">
      <c r="A19" s="1" t="s">
        <v>66</v>
      </c>
      <c r="B19" s="3" t="s">
        <v>1</v>
      </c>
      <c r="C19" s="3">
        <v>20</v>
      </c>
      <c r="D19" s="3">
        <v>41</v>
      </c>
      <c r="E19" s="3" t="s">
        <v>1</v>
      </c>
      <c r="F19" s="3">
        <v>44</v>
      </c>
      <c r="G19" s="3">
        <v>20</v>
      </c>
      <c r="H19" s="3">
        <v>50</v>
      </c>
      <c r="I19" s="3">
        <v>52</v>
      </c>
      <c r="J19" s="3">
        <v>45</v>
      </c>
      <c r="K19" s="3">
        <v>53</v>
      </c>
      <c r="L19" s="3">
        <v>53</v>
      </c>
      <c r="M19" s="3">
        <v>20</v>
      </c>
      <c r="N19" s="3">
        <v>51</v>
      </c>
      <c r="O19" s="3" t="s">
        <v>10</v>
      </c>
      <c r="P19" s="3" t="s">
        <v>5</v>
      </c>
      <c r="Q19" s="3">
        <v>20</v>
      </c>
      <c r="S19" s="11">
        <f t="shared" si="18"/>
        <v>14544</v>
      </c>
      <c r="T19" s="16">
        <f t="shared" si="0"/>
        <v>78</v>
      </c>
      <c r="U19" s="17">
        <f t="shared" si="1"/>
        <v>32</v>
      </c>
      <c r="V19" s="17">
        <f t="shared" si="2"/>
        <v>65</v>
      </c>
      <c r="W19" s="17">
        <f t="shared" si="3"/>
        <v>78</v>
      </c>
      <c r="X19" s="17">
        <f t="shared" si="4"/>
        <v>68</v>
      </c>
      <c r="Y19" s="17">
        <f t="shared" si="5"/>
        <v>32</v>
      </c>
      <c r="Z19" s="17">
        <f t="shared" si="6"/>
        <v>80</v>
      </c>
      <c r="AA19" s="18">
        <f t="shared" si="7"/>
        <v>82</v>
      </c>
      <c r="AB19" s="25">
        <f t="shared" si="8"/>
        <v>69</v>
      </c>
      <c r="AC19" s="26">
        <f t="shared" si="9"/>
        <v>83</v>
      </c>
      <c r="AD19" s="26">
        <f t="shared" si="10"/>
        <v>83</v>
      </c>
      <c r="AE19" s="26">
        <f t="shared" si="11"/>
        <v>32</v>
      </c>
      <c r="AF19" s="26">
        <f t="shared" si="12"/>
        <v>81</v>
      </c>
      <c r="AG19" s="26">
        <f t="shared" si="13"/>
        <v>46</v>
      </c>
      <c r="AH19" s="26">
        <f t="shared" si="14"/>
        <v>255</v>
      </c>
      <c r="AI19" s="27">
        <f t="shared" si="15"/>
        <v>32</v>
      </c>
      <c r="AJ19" s="31"/>
      <c r="AK19" s="33">
        <f t="shared" si="19"/>
        <v>14544</v>
      </c>
      <c r="AL19" s="17">
        <f t="shared" si="20"/>
        <v>78</v>
      </c>
      <c r="AM19" s="17">
        <f t="shared" si="21"/>
        <v>32</v>
      </c>
      <c r="AN19" s="17">
        <f t="shared" si="22"/>
        <v>65</v>
      </c>
      <c r="AO19" s="17">
        <f t="shared" si="23"/>
        <v>78</v>
      </c>
      <c r="AP19" s="17">
        <f t="shared" si="24"/>
        <v>68</v>
      </c>
      <c r="AQ19" s="17">
        <f t="shared" si="25"/>
        <v>32</v>
      </c>
      <c r="AR19" s="17">
        <f t="shared" si="26"/>
        <v>80</v>
      </c>
      <c r="AS19" s="17">
        <f t="shared" si="27"/>
        <v>82</v>
      </c>
      <c r="AT19" s="34">
        <f t="shared" si="28"/>
        <v>15059</v>
      </c>
      <c r="AU19" s="31"/>
      <c r="AV19">
        <f t="shared" si="43"/>
        <v>1836</v>
      </c>
      <c r="AW19" t="s">
        <v>12</v>
      </c>
      <c r="AX19" s="8" t="str">
        <f t="shared" si="29"/>
        <v>14544,78,32,65,78,68,32,80,82,15059</v>
      </c>
      <c r="AY19" s="31"/>
      <c r="AZ19" s="9" t="str">
        <f t="shared" si="30"/>
        <v>1836 DATA 14544,78,32,65,78,68,32,80,82,15059</v>
      </c>
      <c r="BA19" s="31"/>
      <c r="BB19" s="33">
        <f t="shared" si="31"/>
        <v>14552</v>
      </c>
      <c r="BC19" s="26">
        <f t="shared" si="32"/>
        <v>69</v>
      </c>
      <c r="BD19" s="26">
        <f t="shared" si="33"/>
        <v>83</v>
      </c>
      <c r="BE19" s="26">
        <f t="shared" si="34"/>
        <v>83</v>
      </c>
      <c r="BF19" s="26">
        <f t="shared" si="35"/>
        <v>32</v>
      </c>
      <c r="BG19" s="26">
        <f t="shared" si="36"/>
        <v>81</v>
      </c>
      <c r="BH19" s="26">
        <f t="shared" si="37"/>
        <v>46</v>
      </c>
      <c r="BI19" s="26">
        <f t="shared" si="38"/>
        <v>255</v>
      </c>
      <c r="BJ19" s="26">
        <f t="shared" si="39"/>
        <v>32</v>
      </c>
      <c r="BK19" s="34">
        <f t="shared" si="40"/>
        <v>15233</v>
      </c>
      <c r="BL19" s="31"/>
      <c r="BM19">
        <f t="shared" si="44"/>
        <v>1837</v>
      </c>
      <c r="BN19" t="s">
        <v>12</v>
      </c>
      <c r="BO19" s="8" t="str">
        <f t="shared" si="41"/>
        <v>14552,69,83,83,32,81,46,255,32,15233</v>
      </c>
      <c r="BP19"/>
      <c r="BQ19" s="9" t="str">
        <f t="shared" si="42"/>
        <v>1837 DATA 14552,69,83,83,32,81,46,255,32,15233</v>
      </c>
      <c r="BR19" s="31"/>
      <c r="BS19" s="31"/>
      <c r="BT19" s="9" t="s">
        <v>87</v>
      </c>
    </row>
    <row r="20" spans="1:72">
      <c r="A20" s="1" t="s">
        <v>67</v>
      </c>
      <c r="B20" s="3">
        <v>7</v>
      </c>
      <c r="C20" s="3">
        <v>32</v>
      </c>
      <c r="D20" s="3" t="s">
        <v>20</v>
      </c>
      <c r="E20" s="3">
        <v>5</v>
      </c>
      <c r="F20" s="3">
        <v>32</v>
      </c>
      <c r="G20" s="3" t="s">
        <v>23</v>
      </c>
      <c r="H20" s="3" t="s">
        <v>44</v>
      </c>
      <c r="I20" s="3">
        <v>37</v>
      </c>
      <c r="J20" s="3" t="s">
        <v>20</v>
      </c>
      <c r="K20" s="3">
        <v>6</v>
      </c>
      <c r="L20" s="3">
        <v>32</v>
      </c>
      <c r="M20" s="3" t="s">
        <v>23</v>
      </c>
      <c r="N20" s="3" t="s">
        <v>43</v>
      </c>
      <c r="O20" s="3">
        <v>37</v>
      </c>
      <c r="P20" s="3">
        <v>60</v>
      </c>
      <c r="S20" s="11">
        <f t="shared" si="18"/>
        <v>14560</v>
      </c>
      <c r="T20" s="16">
        <f t="shared" si="0"/>
        <v>7</v>
      </c>
      <c r="U20" s="17">
        <f t="shared" si="1"/>
        <v>50</v>
      </c>
      <c r="V20" s="17">
        <f t="shared" si="2"/>
        <v>173</v>
      </c>
      <c r="W20" s="17">
        <f t="shared" si="3"/>
        <v>5</v>
      </c>
      <c r="X20" s="17">
        <f t="shared" si="4"/>
        <v>50</v>
      </c>
      <c r="Y20" s="17">
        <f t="shared" si="5"/>
        <v>141</v>
      </c>
      <c r="Z20" s="17">
        <f t="shared" si="6"/>
        <v>178</v>
      </c>
      <c r="AA20" s="18">
        <f t="shared" si="7"/>
        <v>55</v>
      </c>
      <c r="AB20" s="25">
        <f t="shared" si="8"/>
        <v>173</v>
      </c>
      <c r="AC20" s="26">
        <f t="shared" si="9"/>
        <v>6</v>
      </c>
      <c r="AD20" s="26">
        <f t="shared" si="10"/>
        <v>50</v>
      </c>
      <c r="AE20" s="26">
        <f t="shared" si="11"/>
        <v>141</v>
      </c>
      <c r="AF20" s="26">
        <f t="shared" si="12"/>
        <v>179</v>
      </c>
      <c r="AG20" s="26">
        <f t="shared" si="13"/>
        <v>55</v>
      </c>
      <c r="AH20" s="26">
        <f t="shared" si="14"/>
        <v>96</v>
      </c>
      <c r="AI20" s="27">
        <f t="shared" si="15"/>
        <v>0</v>
      </c>
      <c r="AJ20" s="31"/>
      <c r="AK20" s="33">
        <f t="shared" si="19"/>
        <v>14560</v>
      </c>
      <c r="AL20" s="17">
        <f t="shared" si="20"/>
        <v>7</v>
      </c>
      <c r="AM20" s="17">
        <f t="shared" si="21"/>
        <v>50</v>
      </c>
      <c r="AN20" s="17">
        <f t="shared" si="22"/>
        <v>173</v>
      </c>
      <c r="AO20" s="17">
        <f t="shared" si="23"/>
        <v>5</v>
      </c>
      <c r="AP20" s="17">
        <f t="shared" si="24"/>
        <v>50</v>
      </c>
      <c r="AQ20" s="17">
        <f t="shared" si="25"/>
        <v>141</v>
      </c>
      <c r="AR20" s="17">
        <f t="shared" si="26"/>
        <v>178</v>
      </c>
      <c r="AS20" s="17">
        <f t="shared" si="27"/>
        <v>55</v>
      </c>
      <c r="AT20" s="34">
        <f t="shared" si="28"/>
        <v>15219</v>
      </c>
      <c r="AU20" s="31"/>
      <c r="AV20">
        <f t="shared" si="43"/>
        <v>1838</v>
      </c>
      <c r="AW20" t="s">
        <v>12</v>
      </c>
      <c r="AX20" s="8" t="str">
        <f t="shared" si="29"/>
        <v>14560,7,50,173,5,50,141,178,55,15219</v>
      </c>
      <c r="AY20" s="31"/>
      <c r="AZ20" s="9" t="str">
        <f t="shared" si="30"/>
        <v>1838 DATA 14560,7,50,173,5,50,141,178,55,15219</v>
      </c>
      <c r="BA20" s="31"/>
      <c r="BB20" s="33">
        <f t="shared" si="31"/>
        <v>14568</v>
      </c>
      <c r="BC20" s="26">
        <f t="shared" si="32"/>
        <v>173</v>
      </c>
      <c r="BD20" s="26">
        <f t="shared" si="33"/>
        <v>6</v>
      </c>
      <c r="BE20" s="26">
        <f t="shared" si="34"/>
        <v>50</v>
      </c>
      <c r="BF20" s="26">
        <f t="shared" si="35"/>
        <v>141</v>
      </c>
      <c r="BG20" s="26">
        <f t="shared" si="36"/>
        <v>179</v>
      </c>
      <c r="BH20" s="26">
        <f t="shared" si="37"/>
        <v>55</v>
      </c>
      <c r="BI20" s="26">
        <f t="shared" si="38"/>
        <v>96</v>
      </c>
      <c r="BJ20" s="26">
        <v>255</v>
      </c>
      <c r="BK20" s="34">
        <f t="shared" si="40"/>
        <v>15523</v>
      </c>
      <c r="BL20" s="31"/>
      <c r="BM20">
        <f t="shared" si="44"/>
        <v>1839</v>
      </c>
      <c r="BN20" t="s">
        <v>12</v>
      </c>
      <c r="BO20" s="8" t="str">
        <f t="shared" si="41"/>
        <v>14568,173,6,50,141,179,55,96,255,15523</v>
      </c>
      <c r="BP20"/>
      <c r="BQ20" s="9" t="str">
        <f t="shared" si="42"/>
        <v>1839 DATA 14568,173,6,50,141,179,55,96,255,15523</v>
      </c>
      <c r="BR20" s="31"/>
      <c r="BS20" s="31"/>
      <c r="BT20" s="9" t="s">
        <v>88</v>
      </c>
    </row>
    <row r="21" spans="1:72">
      <c r="A21" s="1"/>
      <c r="S21" s="11">
        <f t="shared" si="18"/>
        <v>0</v>
      </c>
      <c r="T21" s="16">
        <f t="shared" si="0"/>
        <v>0</v>
      </c>
      <c r="U21" s="17">
        <f t="shared" si="1"/>
        <v>0</v>
      </c>
      <c r="V21" s="17">
        <f t="shared" si="2"/>
        <v>0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0</v>
      </c>
      <c r="AL21" s="17">
        <f t="shared" si="20"/>
        <v>0</v>
      </c>
      <c r="AM21" s="17">
        <f t="shared" si="21"/>
        <v>0</v>
      </c>
      <c r="AN21" s="17">
        <f t="shared" si="22"/>
        <v>0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0</v>
      </c>
      <c r="AU21" s="31"/>
      <c r="AV21">
        <f t="shared" si="43"/>
        <v>1840</v>
      </c>
      <c r="AW21" t="s">
        <v>12</v>
      </c>
      <c r="AX21" s="8" t="str">
        <f t="shared" si="29"/>
        <v>0,0,0,0,0,0,0,0,0,0</v>
      </c>
      <c r="AY21" s="31"/>
      <c r="AZ21" s="9" t="str">
        <f t="shared" si="30"/>
        <v>1840 DATA 0,0,0,0,0,0,0,0,0,0</v>
      </c>
      <c r="BA21" s="31"/>
      <c r="BB21" s="33">
        <f t="shared" si="31"/>
        <v>8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8</v>
      </c>
      <c r="BL21" s="31"/>
      <c r="BM21">
        <f t="shared" si="44"/>
        <v>1841</v>
      </c>
      <c r="BN21" t="s">
        <v>12</v>
      </c>
      <c r="BO21" s="8" t="str">
        <f t="shared" si="41"/>
        <v>8,0,0,0,0,0,0,0,0,8</v>
      </c>
      <c r="BP21"/>
      <c r="BQ21" s="9" t="str">
        <f t="shared" si="42"/>
        <v>1841 DATA 8,0,0,0,0,0,0,0,0,8</v>
      </c>
      <c r="BR21" s="31"/>
      <c r="BS21" s="31"/>
      <c r="BT21" s="9" t="s">
        <v>89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1842</v>
      </c>
      <c r="AW22" t="s">
        <v>12</v>
      </c>
      <c r="AX22" s="8" t="str">
        <f t="shared" si="29"/>
        <v>0,0,0,0,0,0,0,0,0,0</v>
      </c>
      <c r="AY22" s="31"/>
      <c r="AZ22" s="9" t="str">
        <f t="shared" si="30"/>
        <v>1842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1843</v>
      </c>
      <c r="BN22" t="s">
        <v>12</v>
      </c>
      <c r="BO22" s="8" t="str">
        <f t="shared" si="41"/>
        <v>8,0,0,0,0,0,0,0,0,8</v>
      </c>
      <c r="BP22"/>
      <c r="BQ22" s="9" t="str">
        <f t="shared" si="42"/>
        <v>1843 DATA 8,0,0,0,0,0,0,0,0,8</v>
      </c>
      <c r="BR22" s="31"/>
      <c r="BS22" s="31"/>
      <c r="BT22" s="9" t="s">
        <v>90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1844</v>
      </c>
      <c r="AW23" t="s">
        <v>12</v>
      </c>
      <c r="AX23" s="8" t="str">
        <f t="shared" si="29"/>
        <v>0,0,0,0,0,0,0,0,0,0</v>
      </c>
      <c r="AY23" s="31"/>
      <c r="AZ23" s="9" t="str">
        <f t="shared" si="30"/>
        <v>1844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1845</v>
      </c>
      <c r="BN23" t="s">
        <v>12</v>
      </c>
      <c r="BO23" s="8" t="str">
        <f t="shared" si="41"/>
        <v>8,0,0,0,0,0,0,0,0,8</v>
      </c>
      <c r="BP23"/>
      <c r="BQ23" s="9" t="str">
        <f t="shared" si="42"/>
        <v>1845 DATA 8,0,0,0,0,0,0,0,0,8</v>
      </c>
      <c r="BR23" s="31"/>
      <c r="BS23" s="31"/>
      <c r="BT23" s="9" t="s">
        <v>91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1846</v>
      </c>
      <c r="AW24" t="s">
        <v>12</v>
      </c>
      <c r="AX24" s="8" t="str">
        <f t="shared" si="29"/>
        <v>0,0,0,0,0,0,0,0,0,0</v>
      </c>
      <c r="AY24" s="31"/>
      <c r="AZ24" s="9" t="str">
        <f t="shared" si="30"/>
        <v>1846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1847</v>
      </c>
      <c r="BN24" t="s">
        <v>12</v>
      </c>
      <c r="BO24" s="8" t="str">
        <f t="shared" si="41"/>
        <v>8,0,0,0,0,0,0,0,0,8</v>
      </c>
      <c r="BP24"/>
      <c r="BQ24" s="9" t="str">
        <f t="shared" si="42"/>
        <v>1847 DATA 8,0,0,0,0,0,0,0,0,8</v>
      </c>
      <c r="BR24" s="31"/>
      <c r="BS24" s="31"/>
      <c r="BT24" s="9" t="s">
        <v>92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1848</v>
      </c>
      <c r="AW25" t="s">
        <v>12</v>
      </c>
      <c r="AX25" s="8" t="str">
        <f t="shared" si="29"/>
        <v>0,0,0,0,0,0,0,0,0,0</v>
      </c>
      <c r="AY25" s="31"/>
      <c r="AZ25" s="9" t="str">
        <f t="shared" si="30"/>
        <v>1848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1849</v>
      </c>
      <c r="BN25" t="s">
        <v>12</v>
      </c>
      <c r="BO25" s="8" t="str">
        <f t="shared" si="41"/>
        <v>8,0,0,0,0,0,0,0,0,8</v>
      </c>
      <c r="BP25"/>
      <c r="BQ25" s="9" t="str">
        <f t="shared" si="42"/>
        <v>1849 DATA 8,0,0,0,0,0,0,0,0,8</v>
      </c>
      <c r="BR25" s="31"/>
      <c r="BS25" s="31"/>
      <c r="BT25" s="9" t="s">
        <v>93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1850</v>
      </c>
      <c r="AW26" t="s">
        <v>12</v>
      </c>
      <c r="AX26" s="8" t="str">
        <f t="shared" si="29"/>
        <v>0,0,0,0,0,0,0,0,0,0</v>
      </c>
      <c r="AY26" s="31"/>
      <c r="AZ26" s="9" t="str">
        <f t="shared" si="30"/>
        <v>1850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1851</v>
      </c>
      <c r="BN26" t="s">
        <v>12</v>
      </c>
      <c r="BO26" s="8" t="str">
        <f t="shared" si="41"/>
        <v>8,0,0,0,0,0,0,0,0,8</v>
      </c>
      <c r="BP26"/>
      <c r="BQ26" s="9" t="str">
        <f t="shared" si="42"/>
        <v>1851 DATA 8,0,0,0,0,0,0,0,0,8</v>
      </c>
      <c r="BR26" s="31"/>
      <c r="BS26" s="31"/>
      <c r="BT26" s="9" t="s">
        <v>94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1852</v>
      </c>
      <c r="AW27" t="s">
        <v>12</v>
      </c>
      <c r="AX27" s="8" t="str">
        <f t="shared" si="29"/>
        <v>0,0,0,0,0,0,0,0,0,0</v>
      </c>
      <c r="AY27" s="31"/>
      <c r="AZ27" s="9" t="str">
        <f t="shared" si="30"/>
        <v>1852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1853</v>
      </c>
      <c r="BN27" t="s">
        <v>12</v>
      </c>
      <c r="BO27" s="8" t="str">
        <f t="shared" si="41"/>
        <v>8,0,0,0,0,0,0,0,0,8</v>
      </c>
      <c r="BP27"/>
      <c r="BQ27" s="9" t="str">
        <f t="shared" si="42"/>
        <v>1853 DATA 8,0,0,0,0,0,0,0,0,8</v>
      </c>
      <c r="BR27" s="31"/>
      <c r="BS27" s="31"/>
      <c r="BT27" s="9" t="s">
        <v>95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1854</v>
      </c>
      <c r="AW28" t="s">
        <v>12</v>
      </c>
      <c r="AX28" s="8" t="str">
        <f t="shared" si="29"/>
        <v>0,0,0,0,0,0,0,0,0,0</v>
      </c>
      <c r="AY28" s="31"/>
      <c r="AZ28" s="9" t="str">
        <f t="shared" si="30"/>
        <v>1854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1855</v>
      </c>
      <c r="BN28" t="s">
        <v>12</v>
      </c>
      <c r="BO28" s="8" t="str">
        <f t="shared" si="41"/>
        <v>8,0,0,0,0,0,0,0,0,8</v>
      </c>
      <c r="BP28"/>
      <c r="BQ28" s="9" t="str">
        <f t="shared" si="42"/>
        <v>1855 DATA 8,0,0,0,0,0,0,0,0,8</v>
      </c>
      <c r="BR28" s="31"/>
      <c r="BS28" s="31"/>
      <c r="BT28" s="9" t="s">
        <v>96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1856</v>
      </c>
      <c r="AW29" t="s">
        <v>12</v>
      </c>
      <c r="AX29" s="8" t="str">
        <f t="shared" si="29"/>
        <v>0,0,0,0,0,0,0,0,0,0</v>
      </c>
      <c r="AY29" s="31"/>
      <c r="AZ29" s="9" t="str">
        <f t="shared" si="30"/>
        <v>1856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1857</v>
      </c>
      <c r="BN29" t="s">
        <v>12</v>
      </c>
      <c r="BO29" s="8" t="str">
        <f t="shared" si="41"/>
        <v>8,0,0,0,0,0,0,0,0,8</v>
      </c>
      <c r="BP29"/>
      <c r="BQ29" s="9" t="str">
        <f t="shared" si="42"/>
        <v>1857 DATA 8,0,0,0,0,0,0,0,0,8</v>
      </c>
      <c r="BR29" s="31"/>
      <c r="BS29" s="31"/>
      <c r="BT29" s="9" t="s">
        <v>97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1858</v>
      </c>
      <c r="AW30" t="s">
        <v>12</v>
      </c>
      <c r="AX30" s="8" t="str">
        <f t="shared" si="29"/>
        <v>0,0,0,0,0,0,0,0,0,0</v>
      </c>
      <c r="AY30" s="31"/>
      <c r="AZ30" s="9" t="str">
        <f t="shared" si="30"/>
        <v>1858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1859</v>
      </c>
      <c r="BN30" t="s">
        <v>12</v>
      </c>
      <c r="BO30" s="8" t="str">
        <f t="shared" si="41"/>
        <v>8,0,0,0,0,0,0,0,0,8</v>
      </c>
      <c r="BP30"/>
      <c r="BQ30" s="9" t="str">
        <f t="shared" si="42"/>
        <v>1859 DATA 8,0,0,0,0,0,0,0,0,8</v>
      </c>
      <c r="BR30" s="31"/>
      <c r="BS30" s="31"/>
      <c r="BT30" s="9" t="s">
        <v>98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1860</v>
      </c>
      <c r="AW31" t="s">
        <v>12</v>
      </c>
      <c r="AX31" s="8" t="str">
        <f t="shared" si="29"/>
        <v>0,0,0,0,0,0,0,0,0,0</v>
      </c>
      <c r="AY31" s="31"/>
      <c r="AZ31" s="9" t="str">
        <f t="shared" si="30"/>
        <v>1860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1861</v>
      </c>
      <c r="BN31" t="s">
        <v>12</v>
      </c>
      <c r="BO31" s="8" t="str">
        <f t="shared" si="41"/>
        <v>8,0,0,0,0,0,0,0,0,8</v>
      </c>
      <c r="BP31"/>
      <c r="BQ31" s="9" t="str">
        <f t="shared" si="42"/>
        <v>1861 DATA 8,0,0,0,0,0,0,0,0,8</v>
      </c>
      <c r="BR31" s="31"/>
      <c r="BS31" s="31"/>
      <c r="BT31" s="9" t="s">
        <v>99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1862</v>
      </c>
      <c r="AW32" t="s">
        <v>12</v>
      </c>
      <c r="AX32" s="8" t="str">
        <f t="shared" si="29"/>
        <v>0,0,0,0,0,0,0,0,0,0</v>
      </c>
      <c r="AY32" s="31"/>
      <c r="AZ32" s="9" t="str">
        <f t="shared" si="30"/>
        <v>1862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1863</v>
      </c>
      <c r="BN32" t="s">
        <v>12</v>
      </c>
      <c r="BO32" s="8" t="str">
        <f t="shared" si="41"/>
        <v>8,0,0,0,0,0,0,0,0,8</v>
      </c>
      <c r="BP32"/>
      <c r="BQ32" s="9" t="str">
        <f t="shared" si="42"/>
        <v>1863 DATA 8,0,0,0,0,0,0,0,0,8</v>
      </c>
      <c r="BR32" s="31"/>
      <c r="BS32" s="31"/>
      <c r="BT32" s="9" t="s">
        <v>100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1864</v>
      </c>
      <c r="AW33" t="s">
        <v>12</v>
      </c>
      <c r="AX33" s="8" t="str">
        <f t="shared" si="29"/>
        <v>0,0,0,0,0,0,0,0,0,0</v>
      </c>
      <c r="AY33" s="31"/>
      <c r="AZ33" s="9" t="str">
        <f t="shared" si="30"/>
        <v>1864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1865</v>
      </c>
      <c r="BN33" t="s">
        <v>12</v>
      </c>
      <c r="BO33" s="8" t="str">
        <f t="shared" si="41"/>
        <v>8,0,0,0,0,0,0,0,0,8</v>
      </c>
      <c r="BP33"/>
      <c r="BQ33" s="9" t="str">
        <f t="shared" si="42"/>
        <v>1865 DATA 8,0,0,0,0,0,0,0,0,8</v>
      </c>
      <c r="BR33" s="31"/>
      <c r="BS33" s="31"/>
      <c r="BT33" s="9" t="s">
        <v>101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1866</v>
      </c>
      <c r="AW34" t="s">
        <v>12</v>
      </c>
      <c r="AX34" s="8" t="str">
        <f t="shared" si="29"/>
        <v>0,0,0,0,0,0,0,0,0,0</v>
      </c>
      <c r="AY34" s="31"/>
      <c r="AZ34" s="9" t="str">
        <f t="shared" si="30"/>
        <v>1866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1867</v>
      </c>
      <c r="BN34" t="s">
        <v>12</v>
      </c>
      <c r="BO34" s="8" t="str">
        <f t="shared" si="41"/>
        <v>8,0,0,0,0,0,0,0,0,8</v>
      </c>
      <c r="BP34"/>
      <c r="BQ34" s="9" t="str">
        <f t="shared" si="42"/>
        <v>1867 DATA 8,0,0,0,0,0,0,0,0,8</v>
      </c>
      <c r="BR34" s="31"/>
      <c r="BS34" s="31"/>
      <c r="BT34" s="9" t="s">
        <v>102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1868</v>
      </c>
      <c r="AW35" t="s">
        <v>12</v>
      </c>
      <c r="AX35" s="8" t="str">
        <f t="shared" si="29"/>
        <v>0,0,0,0,0,0,0,0,0,0</v>
      </c>
      <c r="AY35" s="31"/>
      <c r="AZ35" s="9" t="str">
        <f t="shared" si="30"/>
        <v>1868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1869</v>
      </c>
      <c r="BN35" t="s">
        <v>12</v>
      </c>
      <c r="BO35" s="8" t="str">
        <f t="shared" si="41"/>
        <v>8,0,0,0,0,0,0,0,0,8</v>
      </c>
      <c r="BP35"/>
      <c r="BQ35" s="9" t="str">
        <f t="shared" si="42"/>
        <v>1869 DATA 8,0,0,0,0,0,0,0,0,8</v>
      </c>
      <c r="BR35" s="31"/>
      <c r="BS35" s="31"/>
      <c r="BT35" s="9" t="s">
        <v>103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1870</v>
      </c>
      <c r="AW36" t="s">
        <v>12</v>
      </c>
      <c r="AX36" s="8" t="str">
        <f t="shared" si="29"/>
        <v>0,0,0,0,0,0,0,0,0,0</v>
      </c>
      <c r="AY36" s="31"/>
      <c r="AZ36" s="9" t="str">
        <f t="shared" si="30"/>
        <v>1870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1871</v>
      </c>
      <c r="BN36" t="s">
        <v>12</v>
      </c>
      <c r="BO36" s="8" t="str">
        <f t="shared" si="41"/>
        <v>8,0,0,0,0,0,0,0,0,8</v>
      </c>
      <c r="BP36"/>
      <c r="BQ36" s="9" t="str">
        <f t="shared" si="42"/>
        <v>1871 DATA 8,0,0,0,0,0,0,0,0,8</v>
      </c>
      <c r="BR36" s="31"/>
      <c r="BS36" s="31"/>
      <c r="BT36" s="9" t="s">
        <v>104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1872</v>
      </c>
      <c r="AW37" t="s">
        <v>12</v>
      </c>
      <c r="AX37" s="8" t="str">
        <f t="shared" si="29"/>
        <v>0,0,0,0,0,0,0,0,0,0</v>
      </c>
      <c r="AY37" s="31"/>
      <c r="AZ37" s="9" t="str">
        <f t="shared" si="30"/>
        <v>1872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1873</v>
      </c>
      <c r="BN37" t="s">
        <v>12</v>
      </c>
      <c r="BO37" s="8" t="str">
        <f t="shared" si="41"/>
        <v>8,0,0,0,0,0,0,0,0,8</v>
      </c>
      <c r="BP37"/>
      <c r="BQ37" s="9" t="str">
        <f t="shared" si="42"/>
        <v>1873 DATA 8,0,0,0,0,0,0,0,0,8</v>
      </c>
      <c r="BR37" s="31"/>
      <c r="BS37" s="31"/>
      <c r="BT37" s="9" t="s">
        <v>105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1874</v>
      </c>
      <c r="AW38" t="s">
        <v>12</v>
      </c>
      <c r="AX38" s="8" t="str">
        <f t="shared" si="29"/>
        <v>0,0,0,0,0,0,0,0,0,0</v>
      </c>
      <c r="AY38" s="31"/>
      <c r="AZ38" s="9" t="str">
        <f t="shared" si="30"/>
        <v>1874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1875</v>
      </c>
      <c r="BN38" t="s">
        <v>12</v>
      </c>
      <c r="BO38" s="8" t="str">
        <f t="shared" si="41"/>
        <v>8,0,0,0,0,0,0,0,0,8</v>
      </c>
      <c r="BP38"/>
      <c r="BQ38" s="9" t="str">
        <f t="shared" si="42"/>
        <v>1875 DATA 8,0,0,0,0,0,0,0,0,8</v>
      </c>
      <c r="BR38" s="31"/>
      <c r="BS38" s="31"/>
      <c r="BT38" s="9" t="s">
        <v>106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1876</v>
      </c>
      <c r="AW39" t="s">
        <v>12</v>
      </c>
      <c r="AX39" s="8" t="str">
        <f t="shared" si="29"/>
        <v>0,0,0,0,0,0,0,0,0,0</v>
      </c>
      <c r="AY39" s="31"/>
      <c r="AZ39" s="9" t="str">
        <f t="shared" si="30"/>
        <v>1876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1877</v>
      </c>
      <c r="BN39" t="s">
        <v>12</v>
      </c>
      <c r="BO39" s="8" t="str">
        <f t="shared" si="41"/>
        <v>8,0,0,0,0,0,0,0,0,8</v>
      </c>
      <c r="BP39"/>
      <c r="BQ39" s="9" t="str">
        <f t="shared" si="42"/>
        <v>1877 DATA 8,0,0,0,0,0,0,0,0,8</v>
      </c>
      <c r="BR39" s="31"/>
      <c r="BS39" s="31"/>
      <c r="BT39" s="9" t="s">
        <v>107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1878</v>
      </c>
      <c r="AW40" t="s">
        <v>12</v>
      </c>
      <c r="AX40" s="8" t="str">
        <f t="shared" si="29"/>
        <v>0,0,0,0,0,0,0,0,0,0</v>
      </c>
      <c r="AY40" s="31"/>
      <c r="AZ40" s="9" t="str">
        <f t="shared" si="30"/>
        <v>1878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1879</v>
      </c>
      <c r="BN40" t="s">
        <v>12</v>
      </c>
      <c r="BO40" s="8" t="str">
        <f t="shared" si="41"/>
        <v>8,0,0,0,0,0,0,0,0,8</v>
      </c>
      <c r="BP40"/>
      <c r="BQ40" s="9" t="str">
        <f t="shared" si="42"/>
        <v>1879 DATA 8,0,0,0,0,0,0,0,0,8</v>
      </c>
      <c r="BR40" s="31"/>
      <c r="BS40" s="31"/>
      <c r="BT40" s="9" t="s">
        <v>108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1880</v>
      </c>
      <c r="AW41" t="s">
        <v>12</v>
      </c>
      <c r="AX41" s="8" t="str">
        <f t="shared" si="29"/>
        <v>0,0,0,0,0,0,0,0,0,0</v>
      </c>
      <c r="AY41" s="31"/>
      <c r="AZ41" s="9" t="str">
        <f t="shared" si="30"/>
        <v>1880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1881</v>
      </c>
      <c r="BN41" t="s">
        <v>12</v>
      </c>
      <c r="BO41" s="8" t="str">
        <f t="shared" si="41"/>
        <v>8,0,0,0,0,0,0,0,0,8</v>
      </c>
      <c r="BP41"/>
      <c r="BQ41" s="9" t="str">
        <f t="shared" si="42"/>
        <v>1881 DATA 8,0,0,0,0,0,0,0,0,8</v>
      </c>
      <c r="BR41" s="31"/>
      <c r="BS41" s="31"/>
      <c r="BT41" s="9"/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1882</v>
      </c>
      <c r="AW42" t="s">
        <v>12</v>
      </c>
      <c r="AX42" s="8" t="str">
        <f t="shared" si="29"/>
        <v>0,0,0,0,0,0,0,0,0,0</v>
      </c>
      <c r="AY42" s="31"/>
      <c r="AZ42" s="9" t="str">
        <f t="shared" si="30"/>
        <v>1882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1883</v>
      </c>
      <c r="BN42" t="s">
        <v>12</v>
      </c>
      <c r="BO42" s="8" t="str">
        <f t="shared" si="41"/>
        <v>8,0,0,0,0,0,0,0,0,8</v>
      </c>
      <c r="BP42"/>
      <c r="BQ42" s="9" t="str">
        <f t="shared" si="42"/>
        <v>1883 DATA 8,0,0,0,0,0,0,0,0,8</v>
      </c>
      <c r="BR42" s="31"/>
      <c r="BS42" s="31"/>
      <c r="BT42" s="9"/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1884</v>
      </c>
      <c r="AW43" t="s">
        <v>12</v>
      </c>
      <c r="AX43" s="8" t="str">
        <f t="shared" si="29"/>
        <v>0,0,0,0,0,0,0,0,0,0</v>
      </c>
      <c r="AY43" s="31"/>
      <c r="AZ43" s="9" t="str">
        <f t="shared" si="30"/>
        <v>1884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1885</v>
      </c>
      <c r="BN43" t="s">
        <v>12</v>
      </c>
      <c r="BO43" s="8" t="str">
        <f t="shared" si="41"/>
        <v>8,0,0,0,0,0,0,0,0,8</v>
      </c>
      <c r="BP43"/>
      <c r="BQ43" s="9" t="str">
        <f t="shared" si="42"/>
        <v>1885 DATA 8,0,0,0,0,0,0,0,0,8</v>
      </c>
      <c r="BR43" s="31"/>
      <c r="BS43" s="31"/>
      <c r="BT43" s="9"/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1886</v>
      </c>
      <c r="AW44" t="s">
        <v>12</v>
      </c>
      <c r="AX44" s="8" t="str">
        <f t="shared" si="29"/>
        <v>0,0,0,0,0,0,0,0,0,0</v>
      </c>
      <c r="AY44" s="31"/>
      <c r="AZ44" s="9" t="str">
        <f t="shared" si="30"/>
        <v>1886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1887</v>
      </c>
      <c r="BN44" t="s">
        <v>12</v>
      </c>
      <c r="BO44" s="8" t="str">
        <f t="shared" si="41"/>
        <v>8,0,0,0,0,0,0,0,0,8</v>
      </c>
      <c r="BP44"/>
      <c r="BQ44" s="9" t="str">
        <f t="shared" si="42"/>
        <v>1887 DATA 8,0,0,0,0,0,0,0,0,8</v>
      </c>
      <c r="BT44" s="9"/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1888</v>
      </c>
      <c r="AW45" t="s">
        <v>12</v>
      </c>
      <c r="AX45" s="8" t="str">
        <f t="shared" si="29"/>
        <v>0,0,0,0,0,0,0,0,0,0</v>
      </c>
      <c r="AY45" s="31"/>
      <c r="AZ45" s="9" t="str">
        <f t="shared" si="30"/>
        <v>1888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1889</v>
      </c>
      <c r="BN45" t="s">
        <v>12</v>
      </c>
      <c r="BO45" s="8" t="str">
        <f t="shared" si="41"/>
        <v>8,0,0,0,0,0,0,0,0,8</v>
      </c>
      <c r="BP45"/>
      <c r="BQ45" s="9" t="str">
        <f t="shared" si="42"/>
        <v>1889 DATA 8,0,0,0,0,0,0,0,0,8</v>
      </c>
      <c r="BT45" s="9"/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1890</v>
      </c>
      <c r="AW46" t="s">
        <v>12</v>
      </c>
      <c r="AX46" s="8" t="str">
        <f t="shared" si="29"/>
        <v>0,0,0,0,0,0,0,0,0,0</v>
      </c>
      <c r="AY46" s="31"/>
      <c r="AZ46" s="9" t="str">
        <f t="shared" si="30"/>
        <v>1890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1891</v>
      </c>
      <c r="BN46" t="s">
        <v>12</v>
      </c>
      <c r="BO46" s="8" t="str">
        <f t="shared" si="41"/>
        <v>8,0,0,0,0,0,0,0,0,8</v>
      </c>
      <c r="BP46"/>
      <c r="BQ46" s="9" t="str">
        <f t="shared" si="42"/>
        <v>1891 DATA 8,0,0,0,0,0,0,0,0,8</v>
      </c>
      <c r="BT46" s="9"/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1892</v>
      </c>
      <c r="AW47" t="s">
        <v>12</v>
      </c>
      <c r="AX47" s="8" t="str">
        <f t="shared" si="29"/>
        <v>0,0,0,0,0,0,0,0,0,0</v>
      </c>
      <c r="AY47" s="31"/>
      <c r="AZ47" s="9" t="str">
        <f t="shared" si="30"/>
        <v>1892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1893</v>
      </c>
      <c r="BN47" t="s">
        <v>12</v>
      </c>
      <c r="BO47" s="8" t="str">
        <f t="shared" si="41"/>
        <v>8,0,0,0,0,0,0,0,0,8</v>
      </c>
      <c r="BP47"/>
      <c r="BQ47" s="9" t="str">
        <f t="shared" si="42"/>
        <v>1893 DATA 8,0,0,0,0,0,0,0,0,8</v>
      </c>
      <c r="BT47" s="9"/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1894</v>
      </c>
      <c r="AW48" t="s">
        <v>12</v>
      </c>
      <c r="AX48" s="8" t="str">
        <f t="shared" si="29"/>
        <v>0,0,0,0,0,0,0,0,0,0</v>
      </c>
      <c r="AY48" s="31"/>
      <c r="AZ48" s="9" t="str">
        <f t="shared" si="30"/>
        <v>1894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1895</v>
      </c>
      <c r="BN48" t="s">
        <v>12</v>
      </c>
      <c r="BO48" s="8" t="str">
        <f t="shared" si="41"/>
        <v>8,0,0,0,0,0,0,0,0,8</v>
      </c>
      <c r="BP48"/>
      <c r="BQ48" s="9" t="str">
        <f t="shared" si="42"/>
        <v>1895 DATA 8,0,0,0,0,0,0,0,0,8</v>
      </c>
      <c r="BT48" s="9"/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1896</v>
      </c>
      <c r="AW49" t="s">
        <v>12</v>
      </c>
      <c r="AX49" s="8" t="str">
        <f t="shared" si="29"/>
        <v>0,0,0,0,0,0,0,0,0,0</v>
      </c>
      <c r="AY49" s="31"/>
      <c r="AZ49" s="9" t="str">
        <f t="shared" si="30"/>
        <v>1896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1897</v>
      </c>
      <c r="BN49" t="s">
        <v>12</v>
      </c>
      <c r="BO49" s="8" t="str">
        <f t="shared" si="41"/>
        <v>8,0,0,0,0,0,0,0,0,8</v>
      </c>
      <c r="BP49"/>
      <c r="BQ49" s="9" t="str">
        <f t="shared" si="42"/>
        <v>1897 DATA 8,0,0,0,0,0,0,0,0,8</v>
      </c>
      <c r="BT49" s="9"/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1898</v>
      </c>
      <c r="AW50" t="s">
        <v>12</v>
      </c>
      <c r="AX50" s="8" t="str">
        <f t="shared" si="29"/>
        <v>0,0,0,0,0,0,0,0,0,0</v>
      </c>
      <c r="AY50" s="31"/>
      <c r="AZ50" s="9" t="str">
        <f t="shared" si="30"/>
        <v>1898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1899</v>
      </c>
      <c r="BN50" t="s">
        <v>12</v>
      </c>
      <c r="BO50" s="8" t="str">
        <f t="shared" si="41"/>
        <v>8,0,0,0,0,0,0,0,0,8</v>
      </c>
      <c r="BP50"/>
      <c r="BQ50" s="9" t="str">
        <f t="shared" si="42"/>
        <v>1899 DATA 8,0,0,0,0,0,0,0,0,8</v>
      </c>
      <c r="BT50" s="9"/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1900</v>
      </c>
      <c r="AW51" t="s">
        <v>12</v>
      </c>
      <c r="AX51" s="8" t="str">
        <f t="shared" si="29"/>
        <v>0,0,0,0,0,0,0,0,0,0</v>
      </c>
      <c r="AY51" s="31"/>
      <c r="AZ51" s="9" t="str">
        <f t="shared" si="30"/>
        <v>1900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1901</v>
      </c>
      <c r="BN51" t="s">
        <v>12</v>
      </c>
      <c r="BO51" s="8" t="str">
        <f t="shared" si="41"/>
        <v>8,0,0,0,0,0,0,0,0,8</v>
      </c>
      <c r="BP51"/>
      <c r="BQ51" s="9" t="str">
        <f t="shared" si="42"/>
        <v>1901 DATA 8,0,0,0,0,0,0,0,0,8</v>
      </c>
      <c r="BT51" s="9"/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1902</v>
      </c>
      <c r="AW52" t="s">
        <v>12</v>
      </c>
      <c r="AX52" s="8" t="str">
        <f t="shared" si="29"/>
        <v>0,0,0,0,0,0,0,0,0,0</v>
      </c>
      <c r="AY52" s="31"/>
      <c r="AZ52" s="9" t="str">
        <f t="shared" si="30"/>
        <v>1902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1903</v>
      </c>
      <c r="BN52" t="s">
        <v>12</v>
      </c>
      <c r="BO52" s="8" t="str">
        <f t="shared" si="41"/>
        <v>8,0,0,0,0,0,0,0,0,8</v>
      </c>
      <c r="BP52"/>
      <c r="BQ52" s="9" t="str">
        <f t="shared" si="42"/>
        <v>1903 DATA 8,0,0,0,0,0,0,0,0,8</v>
      </c>
      <c r="BT52" s="9"/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1904</v>
      </c>
      <c r="AW53" t="s">
        <v>12</v>
      </c>
      <c r="AX53" s="8" t="str">
        <f t="shared" si="29"/>
        <v>0,0,0,0,0,0,0,0,0,0</v>
      </c>
      <c r="AY53" s="31"/>
      <c r="AZ53" s="9" t="str">
        <f t="shared" si="30"/>
        <v>1904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1905</v>
      </c>
      <c r="BN53" t="s">
        <v>12</v>
      </c>
      <c r="BO53" s="8" t="str">
        <f t="shared" si="41"/>
        <v>8,0,0,0,0,0,0,0,0,8</v>
      </c>
      <c r="BP53"/>
      <c r="BQ53" s="9" t="str">
        <f t="shared" si="42"/>
        <v>1905 DATA 8,0,0,0,0,0,0,0,0,8</v>
      </c>
      <c r="BT53" s="9"/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1906</v>
      </c>
      <c r="AW54" t="s">
        <v>12</v>
      </c>
      <c r="AX54" s="8" t="str">
        <f t="shared" si="29"/>
        <v>0,0,0,0,0,0,0,0,0,0</v>
      </c>
      <c r="AY54" s="31"/>
      <c r="AZ54" s="9" t="str">
        <f t="shared" si="30"/>
        <v>1906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1907</v>
      </c>
      <c r="BN54" t="s">
        <v>12</v>
      </c>
      <c r="BO54" s="8" t="str">
        <f t="shared" si="41"/>
        <v>8,0,0,0,0,0,0,0,0,8</v>
      </c>
      <c r="BP54"/>
      <c r="BQ54" s="9" t="str">
        <f t="shared" si="42"/>
        <v>1907 DATA 8,0,0,0,0,0,0,0,0,8</v>
      </c>
      <c r="BT54" s="9"/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1908</v>
      </c>
      <c r="AW55" t="s">
        <v>12</v>
      </c>
      <c r="AX55" s="8" t="str">
        <f t="shared" si="29"/>
        <v>0,0,0,0,0,0,0,0,0,0</v>
      </c>
      <c r="AY55" s="31"/>
      <c r="AZ55" s="9" t="str">
        <f t="shared" si="30"/>
        <v>1908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1909</v>
      </c>
      <c r="BN55" t="s">
        <v>12</v>
      </c>
      <c r="BO55" s="8" t="str">
        <f t="shared" si="41"/>
        <v>8,0,0,0,0,0,0,0,0,8</v>
      </c>
      <c r="BP55"/>
      <c r="BQ55" s="9" t="str">
        <f t="shared" si="42"/>
        <v>1909 DATA 8,0,0,0,0,0,0,0,0,8</v>
      </c>
      <c r="BT55" s="9"/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1910</v>
      </c>
      <c r="AW56" t="s">
        <v>12</v>
      </c>
      <c r="AX56" s="8" t="str">
        <f t="shared" si="29"/>
        <v>0,0,0,0,0,0,0,0,0,0</v>
      </c>
      <c r="AY56" s="31"/>
      <c r="AZ56" s="9" t="str">
        <f t="shared" si="30"/>
        <v>1910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1911</v>
      </c>
      <c r="BN56" t="s">
        <v>12</v>
      </c>
      <c r="BO56" s="8" t="str">
        <f t="shared" si="41"/>
        <v>8,0,0,0,0,0,0,0,0,8</v>
      </c>
      <c r="BP56"/>
      <c r="BQ56" s="9" t="str">
        <f t="shared" si="42"/>
        <v>1911 DATA 8,0,0,0,0,0,0,0,0,8</v>
      </c>
      <c r="BT56" s="9"/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1912</v>
      </c>
      <c r="AW57" t="s">
        <v>12</v>
      </c>
      <c r="AX57" s="8" t="str">
        <f t="shared" si="29"/>
        <v>0,0,0,0,0,0,0,0,0,0</v>
      </c>
      <c r="AY57" s="31"/>
      <c r="AZ57" s="9" t="str">
        <f t="shared" si="30"/>
        <v>1912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1913</v>
      </c>
      <c r="BN57" t="s">
        <v>12</v>
      </c>
      <c r="BO57" s="8" t="str">
        <f t="shared" si="41"/>
        <v>8,0,0,0,0,0,0,0,0,8</v>
      </c>
      <c r="BP57"/>
      <c r="BQ57" s="9" t="str">
        <f t="shared" si="42"/>
        <v>1913 DATA 8,0,0,0,0,0,0,0,0,8</v>
      </c>
      <c r="BT57" s="9"/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1914</v>
      </c>
      <c r="AW58" t="s">
        <v>12</v>
      </c>
      <c r="AX58" s="8" t="str">
        <f t="shared" si="29"/>
        <v>0,0,0,0,0,0,0,0,0,0</v>
      </c>
      <c r="AY58" s="31"/>
      <c r="AZ58" s="9" t="str">
        <f t="shared" si="30"/>
        <v>1914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1915</v>
      </c>
      <c r="BN58" t="s">
        <v>12</v>
      </c>
      <c r="BO58" s="8" t="str">
        <f t="shared" si="41"/>
        <v>8,0,0,0,0,0,0,0,0,8</v>
      </c>
      <c r="BP58"/>
      <c r="BQ58" s="9" t="str">
        <f t="shared" si="42"/>
        <v>1915 DATA 8,0,0,0,0,0,0,0,0,8</v>
      </c>
      <c r="BT58" s="9"/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1916</v>
      </c>
      <c r="AW59" t="s">
        <v>12</v>
      </c>
      <c r="AX59" s="8" t="str">
        <f t="shared" si="29"/>
        <v>0,0,0,0,0,0,0,0,0,0</v>
      </c>
      <c r="AY59" s="31"/>
      <c r="AZ59" s="9" t="str">
        <f t="shared" si="30"/>
        <v>1916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1917</v>
      </c>
      <c r="BN59" t="s">
        <v>12</v>
      </c>
      <c r="BO59" s="8" t="str">
        <f t="shared" si="41"/>
        <v>8,0,0,0,0,0,0,0,0,8</v>
      </c>
      <c r="BP59"/>
      <c r="BQ59" s="9" t="str">
        <f t="shared" si="42"/>
        <v>1917 DATA 8,0,0,0,0,0,0,0,0,8</v>
      </c>
      <c r="BT59" s="9"/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1918</v>
      </c>
      <c r="AW60" t="s">
        <v>12</v>
      </c>
      <c r="AX60" s="8" t="str">
        <f t="shared" si="29"/>
        <v>0,0,0,0,0,0,0,0,0,0</v>
      </c>
      <c r="AY60" s="31"/>
      <c r="AZ60" s="9" t="str">
        <f t="shared" si="30"/>
        <v>1918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1919</v>
      </c>
      <c r="BN60" t="s">
        <v>12</v>
      </c>
      <c r="BO60" s="8" t="str">
        <f t="shared" si="41"/>
        <v>8,0,0,0,0,0,0,0,0,8</v>
      </c>
      <c r="BP60"/>
      <c r="BQ60" s="9" t="str">
        <f t="shared" si="42"/>
        <v>1919 DATA 8,0,0,0,0,0,0,0,0,8</v>
      </c>
      <c r="BT60" s="9"/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1920</v>
      </c>
      <c r="AW61" t="s">
        <v>12</v>
      </c>
      <c r="AX61" s="8" t="str">
        <f t="shared" si="29"/>
        <v>0,0,0,0,0,0,0,0,0,0</v>
      </c>
      <c r="AY61" s="31"/>
      <c r="AZ61" s="9" t="str">
        <f t="shared" si="30"/>
        <v>1920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1921</v>
      </c>
      <c r="BN61" t="s">
        <v>12</v>
      </c>
      <c r="BO61" s="8" t="str">
        <f t="shared" si="41"/>
        <v>8,0,0,0,0,0,0,0,0,8</v>
      </c>
      <c r="BP61"/>
      <c r="BQ61" s="9" t="str">
        <f t="shared" si="42"/>
        <v>1921 DATA 8,0,0,0,0,0,0,0,0,8</v>
      </c>
      <c r="BT61" s="9"/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1922</v>
      </c>
      <c r="AW62" t="s">
        <v>12</v>
      </c>
      <c r="AX62" s="8" t="str">
        <f t="shared" si="29"/>
        <v>0,0,0,0,0,0,0,0,0,0</v>
      </c>
      <c r="AY62" s="31"/>
      <c r="AZ62" s="9" t="str">
        <f t="shared" si="30"/>
        <v>1922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1923</v>
      </c>
      <c r="BN62" t="s">
        <v>12</v>
      </c>
      <c r="BO62" s="8" t="str">
        <f t="shared" si="41"/>
        <v>8,0,0,0,0,0,0,0,0,8</v>
      </c>
      <c r="BP62"/>
      <c r="BQ62" s="9" t="str">
        <f t="shared" si="42"/>
        <v>1923 DATA 8,0,0,0,0,0,0,0,0,8</v>
      </c>
      <c r="BT62" s="9"/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1924</v>
      </c>
      <c r="AW63" t="s">
        <v>12</v>
      </c>
      <c r="AX63" s="8" t="str">
        <f t="shared" si="29"/>
        <v>0,0,0,0,0,0,0,0,0,0</v>
      </c>
      <c r="AY63" s="31"/>
      <c r="AZ63" s="9" t="str">
        <f t="shared" si="30"/>
        <v>1924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1925</v>
      </c>
      <c r="BN63" t="s">
        <v>12</v>
      </c>
      <c r="BO63" s="8" t="str">
        <f t="shared" si="41"/>
        <v>8,0,0,0,0,0,0,0,0,8</v>
      </c>
      <c r="BP63"/>
      <c r="BQ63" s="9" t="str">
        <f t="shared" si="42"/>
        <v>1925 DATA 8,0,0,0,0,0,0,0,0,8</v>
      </c>
      <c r="BT63" s="9"/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1926</v>
      </c>
      <c r="AW64" t="s">
        <v>12</v>
      </c>
      <c r="AX64" s="8" t="str">
        <f t="shared" si="29"/>
        <v>0,0,0,0,0,0,0,0,0,0</v>
      </c>
      <c r="AY64" s="31"/>
      <c r="AZ64" s="9" t="str">
        <f t="shared" si="30"/>
        <v>1926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1927</v>
      </c>
      <c r="BN64" t="s">
        <v>12</v>
      </c>
      <c r="BO64" s="8" t="str">
        <f t="shared" si="41"/>
        <v>8,0,0,0,0,0,0,0,0,8</v>
      </c>
      <c r="BP64"/>
      <c r="BQ64" s="9" t="str">
        <f t="shared" si="42"/>
        <v>1927 DATA 8,0,0,0,0,0,0,0,0,8</v>
      </c>
      <c r="BT64" s="9"/>
    </row>
    <row r="65" spans="19:69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1928</v>
      </c>
      <c r="AW65" t="s">
        <v>12</v>
      </c>
      <c r="AX65" s="8" t="str">
        <f t="shared" si="29"/>
        <v>0,0,0,0,0,0,0,0,0,0</v>
      </c>
      <c r="AY65" s="31"/>
      <c r="AZ65" s="9" t="str">
        <f t="shared" si="30"/>
        <v>1928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1929</v>
      </c>
      <c r="BN65" t="s">
        <v>12</v>
      </c>
      <c r="BO65" s="8" t="str">
        <f t="shared" si="41"/>
        <v>8,0,0,0,0,0,0,0,0,8</v>
      </c>
      <c r="BP65"/>
      <c r="BQ65" s="9" t="str">
        <f t="shared" si="42"/>
        <v>1929 DATA 8,0,0,0,0,0,0,0,0,8</v>
      </c>
    </row>
    <row r="66" spans="19:69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1930</v>
      </c>
      <c r="AW66" t="s">
        <v>12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1930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1931</v>
      </c>
      <c r="BN66" t="s">
        <v>12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1931 DATA 8,0,0,0,0,0,0,0,0,8</v>
      </c>
    </row>
    <row r="67" spans="19:69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1932</v>
      </c>
      <c r="AW67" t="s">
        <v>12</v>
      </c>
      <c r="AX67" s="8" t="str">
        <f t="shared" si="72"/>
        <v>0,0,0,0,0,0,0,0,0,0</v>
      </c>
      <c r="AY67" s="31"/>
      <c r="AZ67" s="9" t="str">
        <f t="shared" si="73"/>
        <v>1932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1933</v>
      </c>
      <c r="BN67" t="s">
        <v>12</v>
      </c>
      <c r="BO67" s="8" t="str">
        <f t="shared" si="84"/>
        <v>8,0,0,0,0,0,0,0,0,8</v>
      </c>
      <c r="BP67"/>
      <c r="BQ67" s="9" t="str">
        <f t="shared" si="85"/>
        <v>1933 DATA 8,0,0,0,0,0,0,0,0,8</v>
      </c>
    </row>
    <row r="68" spans="19:69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1934</v>
      </c>
      <c r="AW68" t="s">
        <v>12</v>
      </c>
      <c r="AX68" s="8" t="str">
        <f t="shared" si="72"/>
        <v>0,0,0,0,0,0,0,0,0,0</v>
      </c>
      <c r="AY68" s="31"/>
      <c r="AZ68" s="9" t="str">
        <f t="shared" si="73"/>
        <v>1934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1935</v>
      </c>
      <c r="BN68" t="s">
        <v>12</v>
      </c>
      <c r="BO68" s="8" t="str">
        <f t="shared" si="84"/>
        <v>8,0,0,0,0,0,0,0,0,8</v>
      </c>
      <c r="BP68"/>
      <c r="BQ68" s="9" t="str">
        <f t="shared" si="85"/>
        <v>1935 DATA 8,0,0,0,0,0,0,0,0,8</v>
      </c>
    </row>
    <row r="69" spans="19:69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1936</v>
      </c>
      <c r="AW69" t="s">
        <v>12</v>
      </c>
      <c r="AX69" s="8" t="str">
        <f t="shared" si="72"/>
        <v>0,0,0,0,0,0,0,0,0,0</v>
      </c>
      <c r="AY69" s="31"/>
      <c r="AZ69" s="9" t="str">
        <f t="shared" si="73"/>
        <v>1936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1937</v>
      </c>
      <c r="BN69" t="s">
        <v>12</v>
      </c>
      <c r="BO69" s="8" t="str">
        <f t="shared" si="84"/>
        <v>8,0,0,0,0,0,0,0,0,8</v>
      </c>
      <c r="BP69"/>
      <c r="BQ69" s="9" t="str">
        <f t="shared" si="85"/>
        <v>1937 DATA 8,0,0,0,0,0,0,0,0,8</v>
      </c>
    </row>
    <row r="70" spans="19:69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1938</v>
      </c>
      <c r="AW70" t="s">
        <v>12</v>
      </c>
      <c r="AX70" s="8" t="str">
        <f t="shared" si="72"/>
        <v>0,0,0,0,0,0,0,0,0,0</v>
      </c>
      <c r="AY70" s="31"/>
      <c r="AZ70" s="9" t="str">
        <f t="shared" si="73"/>
        <v>1938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1939</v>
      </c>
      <c r="BN70" t="s">
        <v>12</v>
      </c>
      <c r="BO70" s="8" t="str">
        <f t="shared" si="84"/>
        <v>8,0,0,0,0,0,0,0,0,8</v>
      </c>
      <c r="BP70"/>
      <c r="BQ70" s="9" t="str">
        <f t="shared" si="85"/>
        <v>1939 DATA 8,0,0,0,0,0,0,0,0,8</v>
      </c>
    </row>
    <row r="71" spans="19:69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1940</v>
      </c>
      <c r="AW71" t="s">
        <v>12</v>
      </c>
      <c r="AX71" s="8" t="str">
        <f t="shared" si="72"/>
        <v>0,0,0,0,0,0,0,0,0,0</v>
      </c>
      <c r="AY71" s="31"/>
      <c r="AZ71" s="9" t="str">
        <f t="shared" si="73"/>
        <v>1940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1941</v>
      </c>
      <c r="BN71" t="s">
        <v>12</v>
      </c>
      <c r="BO71" s="8" t="str">
        <f t="shared" si="84"/>
        <v>8,0,0,0,0,0,0,0,0,8</v>
      </c>
      <c r="BP71"/>
      <c r="BQ71" s="9" t="str">
        <f t="shared" si="85"/>
        <v>1941 DATA 8,0,0,0,0,0,0,0,0,8</v>
      </c>
    </row>
    <row r="72" spans="19:69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1942</v>
      </c>
      <c r="AW72" t="s">
        <v>12</v>
      </c>
      <c r="AX72" s="8" t="str">
        <f t="shared" si="72"/>
        <v>0,0,0,0,0,0,0,0,0,0</v>
      </c>
      <c r="AY72" s="31"/>
      <c r="AZ72" s="9" t="str">
        <f t="shared" si="73"/>
        <v>1942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1943</v>
      </c>
      <c r="BN72" t="s">
        <v>12</v>
      </c>
      <c r="BO72" s="8" t="str">
        <f t="shared" si="84"/>
        <v>8,0,0,0,0,0,0,0,0,8</v>
      </c>
      <c r="BP72"/>
      <c r="BQ72" s="9" t="str">
        <f t="shared" si="85"/>
        <v>1943 DATA 8,0,0,0,0,0,0,0,0,8</v>
      </c>
    </row>
    <row r="73" spans="19:69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1944</v>
      </c>
      <c r="AW73" t="s">
        <v>12</v>
      </c>
      <c r="AX73" s="8" t="str">
        <f t="shared" si="72"/>
        <v>0,0,0,0,0,0,0,0,0,0</v>
      </c>
      <c r="AY73" s="31"/>
      <c r="AZ73" s="9" t="str">
        <f t="shared" si="73"/>
        <v>1944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1945</v>
      </c>
      <c r="BN73" t="s">
        <v>12</v>
      </c>
      <c r="BO73" s="8" t="str">
        <f t="shared" si="84"/>
        <v>8,0,0,0,0,0,0,0,0,8</v>
      </c>
      <c r="BP73"/>
      <c r="BQ73" s="9" t="str">
        <f t="shared" si="85"/>
        <v>1945 DATA 8,0,0,0,0,0,0,0,0,8</v>
      </c>
    </row>
    <row r="74" spans="19:69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1946</v>
      </c>
      <c r="AW74" t="s">
        <v>12</v>
      </c>
      <c r="AX74" s="8" t="str">
        <f t="shared" si="72"/>
        <v>0,0,0,0,0,0,0,0,0,0</v>
      </c>
      <c r="AY74" s="31"/>
      <c r="AZ74" s="9" t="str">
        <f t="shared" si="73"/>
        <v>1946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1947</v>
      </c>
      <c r="BN74" t="s">
        <v>12</v>
      </c>
      <c r="BO74" s="8" t="str">
        <f t="shared" si="84"/>
        <v>8,0,0,0,0,0,0,0,0,8</v>
      </c>
      <c r="BP74"/>
      <c r="BQ74" s="9" t="str">
        <f t="shared" si="85"/>
        <v>1947 DATA 8,0,0,0,0,0,0,0,0,8</v>
      </c>
    </row>
    <row r="75" spans="19:69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1948</v>
      </c>
      <c r="AW75" t="s">
        <v>12</v>
      </c>
      <c r="AX75" s="8" t="str">
        <f t="shared" si="72"/>
        <v>0,0,0,0,0,0,0,0,0,0</v>
      </c>
      <c r="AY75" s="31"/>
      <c r="AZ75" s="9" t="str">
        <f t="shared" si="73"/>
        <v>1948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1949</v>
      </c>
      <c r="BN75" t="s">
        <v>12</v>
      </c>
      <c r="BO75" s="8" t="str">
        <f t="shared" si="84"/>
        <v>8,0,0,0,0,0,0,0,0,8</v>
      </c>
      <c r="BP75"/>
      <c r="BQ75" s="9" t="str">
        <f t="shared" si="85"/>
        <v>1949 DATA 8,0,0,0,0,0,0,0,0,8</v>
      </c>
    </row>
    <row r="76" spans="19:69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1950</v>
      </c>
      <c r="AW76" t="s">
        <v>12</v>
      </c>
      <c r="AX76" s="8" t="str">
        <f t="shared" si="72"/>
        <v>0,0,0,0,0,0,0,0,0,0</v>
      </c>
      <c r="AY76" s="31"/>
      <c r="AZ76" s="9" t="str">
        <f t="shared" si="73"/>
        <v>1950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1951</v>
      </c>
      <c r="BN76" t="s">
        <v>12</v>
      </c>
      <c r="BO76" s="8" t="str">
        <f t="shared" si="84"/>
        <v>8,0,0,0,0,0,0,0,0,8</v>
      </c>
      <c r="BP76"/>
      <c r="BQ76" s="9" t="str">
        <f t="shared" si="85"/>
        <v>1951 DATA 8,0,0,0,0,0,0,0,0,8</v>
      </c>
    </row>
    <row r="77" spans="19:69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1952</v>
      </c>
      <c r="AW77" t="s">
        <v>12</v>
      </c>
      <c r="AX77" s="8" t="str">
        <f t="shared" si="72"/>
        <v>0,0,0,0,0,0,0,0,0,0</v>
      </c>
      <c r="AY77" s="31"/>
      <c r="AZ77" s="9" t="str">
        <f t="shared" si="73"/>
        <v>1952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1953</v>
      </c>
      <c r="BN77" t="s">
        <v>12</v>
      </c>
      <c r="BO77" s="8" t="str">
        <f t="shared" si="84"/>
        <v>8,0,0,0,0,0,0,0,0,8</v>
      </c>
      <c r="BP77"/>
      <c r="BQ77" s="9" t="str">
        <f t="shared" si="85"/>
        <v>1953 DATA 8,0,0,0,0,0,0,0,0,8</v>
      </c>
    </row>
    <row r="78" spans="19:69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1954</v>
      </c>
      <c r="AW78" t="s">
        <v>12</v>
      </c>
      <c r="AX78" s="8" t="str">
        <f t="shared" si="72"/>
        <v>0,0,0,0,0,0,0,0,0,0</v>
      </c>
      <c r="AY78" s="31"/>
      <c r="AZ78" s="9" t="str">
        <f t="shared" si="73"/>
        <v>1954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1955</v>
      </c>
      <c r="BN78" t="s">
        <v>12</v>
      </c>
      <c r="BO78" s="8" t="str">
        <f t="shared" si="84"/>
        <v>8,0,0,0,0,0,0,0,0,8</v>
      </c>
      <c r="BP78"/>
      <c r="BQ78" s="9" t="str">
        <f t="shared" si="85"/>
        <v>1955 DATA 8,0,0,0,0,0,0,0,0,8</v>
      </c>
    </row>
    <row r="79" spans="19:69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1956</v>
      </c>
      <c r="AW79" t="s">
        <v>12</v>
      </c>
      <c r="AX79" s="8" t="str">
        <f t="shared" si="72"/>
        <v>0,0,0,0,0,0,0,0,0,0</v>
      </c>
      <c r="AY79" s="31"/>
      <c r="AZ79" s="9" t="str">
        <f t="shared" si="73"/>
        <v>1956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1957</v>
      </c>
      <c r="BN79" t="s">
        <v>12</v>
      </c>
      <c r="BO79" s="8" t="str">
        <f t="shared" si="84"/>
        <v>8,0,0,0,0,0,0,0,0,8</v>
      </c>
      <c r="BP79"/>
      <c r="BQ79" s="9" t="str">
        <f t="shared" si="85"/>
        <v>1957 DATA 8,0,0,0,0,0,0,0,0,8</v>
      </c>
    </row>
    <row r="80" spans="19:69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1958</v>
      </c>
      <c r="AW80" t="s">
        <v>12</v>
      </c>
      <c r="AX80" s="8" t="str">
        <f t="shared" si="72"/>
        <v>0,0,0,0,0,0,0,0,0,0</v>
      </c>
      <c r="AY80" s="31"/>
      <c r="AZ80" s="9" t="str">
        <f t="shared" si="73"/>
        <v>1958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1959</v>
      </c>
      <c r="BN80" t="s">
        <v>12</v>
      </c>
      <c r="BO80" s="8" t="str">
        <f t="shared" si="84"/>
        <v>8,0,0,0,0,0,0,0,0,8</v>
      </c>
      <c r="BP80"/>
      <c r="BQ80" s="9" t="str">
        <f t="shared" si="85"/>
        <v>1959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1960</v>
      </c>
      <c r="AW81" t="s">
        <v>12</v>
      </c>
      <c r="AX81" s="8" t="str">
        <f t="shared" si="72"/>
        <v>0,0,0,0,0,0,0,0,0,0</v>
      </c>
      <c r="AY81" s="31"/>
      <c r="AZ81" s="9" t="str">
        <f t="shared" si="73"/>
        <v>1960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1961</v>
      </c>
      <c r="BN81" t="s">
        <v>12</v>
      </c>
      <c r="BO81" s="8" t="str">
        <f t="shared" si="84"/>
        <v>8,0,0,0,0,0,0,0,0,8</v>
      </c>
      <c r="BP81"/>
      <c r="BQ81" s="9" t="str">
        <f t="shared" si="85"/>
        <v>1961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1962</v>
      </c>
      <c r="AW82" t="s">
        <v>12</v>
      </c>
      <c r="AX82" s="8" t="str">
        <f t="shared" si="72"/>
        <v>0,0,0,0,0,0,0,0,0,0</v>
      </c>
      <c r="AY82" s="31"/>
      <c r="AZ82" s="9" t="str">
        <f t="shared" si="73"/>
        <v>1962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1963</v>
      </c>
      <c r="BN82" t="s">
        <v>12</v>
      </c>
      <c r="BO82" s="8" t="str">
        <f t="shared" si="84"/>
        <v>8,0,0,0,0,0,0,0,0,8</v>
      </c>
      <c r="BP82"/>
      <c r="BQ82" s="9" t="str">
        <f t="shared" si="85"/>
        <v>1963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1964</v>
      </c>
      <c r="AW83" t="s">
        <v>12</v>
      </c>
      <c r="AX83" s="8" t="str">
        <f t="shared" si="72"/>
        <v>0,0,0,0,0,0,0,0,0,0</v>
      </c>
      <c r="AY83" s="31"/>
      <c r="AZ83" s="9" t="str">
        <f t="shared" si="73"/>
        <v>1964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1965</v>
      </c>
      <c r="BN83" t="s">
        <v>12</v>
      </c>
      <c r="BO83" s="8" t="str">
        <f t="shared" si="84"/>
        <v>8,0,0,0,0,0,0,0,0,8</v>
      </c>
      <c r="BP83"/>
      <c r="BQ83" s="9" t="str">
        <f t="shared" si="85"/>
        <v>1965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1966</v>
      </c>
      <c r="AW84" t="s">
        <v>12</v>
      </c>
      <c r="AX84" s="8" t="str">
        <f t="shared" si="72"/>
        <v>0,0,0,0,0,0,0,0,0,0</v>
      </c>
      <c r="AY84" s="31"/>
      <c r="AZ84" s="9" t="str">
        <f t="shared" si="73"/>
        <v>1966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1967</v>
      </c>
      <c r="BN84" t="s">
        <v>12</v>
      </c>
      <c r="BO84" s="8" t="str">
        <f t="shared" si="84"/>
        <v>8,0,0,0,0,0,0,0,0,8</v>
      </c>
      <c r="BP84"/>
      <c r="BQ84" s="9" t="str">
        <f t="shared" si="85"/>
        <v>1967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1968</v>
      </c>
      <c r="AW85" t="s">
        <v>12</v>
      </c>
      <c r="AX85" s="8" t="str">
        <f t="shared" si="72"/>
        <v>0,0,0,0,0,0,0,0,0,0</v>
      </c>
      <c r="AY85" s="31"/>
      <c r="AZ85" s="9" t="str">
        <f t="shared" si="73"/>
        <v>1968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1969</v>
      </c>
      <c r="BN85" t="s">
        <v>12</v>
      </c>
      <c r="BO85" s="8" t="str">
        <f t="shared" si="84"/>
        <v>8,0,0,0,0,0,0,0,0,8</v>
      </c>
      <c r="BP85"/>
      <c r="BQ85" s="9" t="str">
        <f t="shared" si="85"/>
        <v>1969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1970</v>
      </c>
      <c r="AW86" t="s">
        <v>12</v>
      </c>
      <c r="AX86" s="8" t="str">
        <f t="shared" si="72"/>
        <v>0,0,0,0,0,0,0,0,0,0</v>
      </c>
      <c r="AY86" s="31"/>
      <c r="AZ86" s="9" t="str">
        <f t="shared" si="73"/>
        <v>1970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1971</v>
      </c>
      <c r="BN86" t="s">
        <v>12</v>
      </c>
      <c r="BO86" s="8" t="str">
        <f t="shared" si="84"/>
        <v>8,0,0,0,0,0,0,0,0,8</v>
      </c>
      <c r="BP86"/>
      <c r="BQ86" s="9" t="str">
        <f t="shared" si="85"/>
        <v>1971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1972</v>
      </c>
      <c r="AW87" t="s">
        <v>12</v>
      </c>
      <c r="AX87" s="8" t="str">
        <f t="shared" si="72"/>
        <v>0,0,0,0,0,0,0,0,0,0</v>
      </c>
      <c r="AY87" s="31"/>
      <c r="AZ87" s="9" t="str">
        <f t="shared" si="73"/>
        <v>1972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1973</v>
      </c>
      <c r="BN87" t="s">
        <v>12</v>
      </c>
      <c r="BO87" s="8" t="str">
        <f t="shared" si="84"/>
        <v>8,0,0,0,0,0,0,0,0,8</v>
      </c>
      <c r="BP87"/>
      <c r="BQ87" s="9" t="str">
        <f t="shared" si="85"/>
        <v>1973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1974</v>
      </c>
      <c r="AW88" t="s">
        <v>12</v>
      </c>
      <c r="AX88" s="8" t="str">
        <f t="shared" si="72"/>
        <v>0,0,0,0,0,0,0,0,0,0</v>
      </c>
      <c r="AY88" s="31"/>
      <c r="AZ88" s="9" t="str">
        <f t="shared" si="73"/>
        <v>1974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1975</v>
      </c>
      <c r="BN88" t="s">
        <v>12</v>
      </c>
      <c r="BO88" s="8" t="str">
        <f t="shared" si="84"/>
        <v>8,0,0,0,0,0,0,0,0,8</v>
      </c>
      <c r="BP88"/>
      <c r="BQ88" s="9" t="str">
        <f t="shared" si="85"/>
        <v>1975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1976</v>
      </c>
      <c r="AW89" t="s">
        <v>12</v>
      </c>
      <c r="AX89" s="8" t="str">
        <f t="shared" si="72"/>
        <v>0,0,0,0,0,0,0,0,0,0</v>
      </c>
      <c r="AY89" s="31"/>
      <c r="AZ89" s="9" t="str">
        <f t="shared" si="73"/>
        <v>1976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1977</v>
      </c>
      <c r="BN89" t="s">
        <v>12</v>
      </c>
      <c r="BO89" s="8" t="str">
        <f t="shared" si="84"/>
        <v>8,0,0,0,0,0,0,0,0,8</v>
      </c>
      <c r="BP89"/>
      <c r="BQ89" s="9" t="str">
        <f t="shared" si="85"/>
        <v>1977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1978</v>
      </c>
      <c r="AW90" t="s">
        <v>12</v>
      </c>
      <c r="AX90" s="8" t="str">
        <f t="shared" si="72"/>
        <v>0,0,0,0,0,0,0,0,0,0</v>
      </c>
      <c r="AY90" s="31"/>
      <c r="AZ90" s="9" t="str">
        <f t="shared" si="73"/>
        <v>1978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1979</v>
      </c>
      <c r="BN90" t="s">
        <v>12</v>
      </c>
      <c r="BO90" s="8" t="str">
        <f t="shared" si="84"/>
        <v>8,0,0,0,0,0,0,0,0,8</v>
      </c>
      <c r="BP90"/>
      <c r="BQ90" s="9" t="str">
        <f t="shared" si="85"/>
        <v>1979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1980</v>
      </c>
      <c r="AW91" t="s">
        <v>12</v>
      </c>
      <c r="AX91" s="8" t="str">
        <f t="shared" si="72"/>
        <v>0,0,0,0,0,0,0,0,0,0</v>
      </c>
      <c r="AY91" s="31"/>
      <c r="AZ91" s="9" t="str">
        <f t="shared" si="73"/>
        <v>1980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1981</v>
      </c>
      <c r="BN91" t="s">
        <v>12</v>
      </c>
      <c r="BO91" s="8" t="str">
        <f t="shared" si="84"/>
        <v>8,0,0,0,0,0,0,0,0,8</v>
      </c>
      <c r="BP91"/>
      <c r="BQ91" s="9" t="str">
        <f t="shared" si="85"/>
        <v>1981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1982</v>
      </c>
      <c r="AW92" t="s">
        <v>12</v>
      </c>
      <c r="AX92" s="8" t="str">
        <f t="shared" si="72"/>
        <v>0,0,0,0,0,0,0,0,0,0</v>
      </c>
      <c r="AY92" s="31"/>
      <c r="AZ92" s="9" t="str">
        <f t="shared" si="73"/>
        <v>1982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1983</v>
      </c>
      <c r="BN92" t="s">
        <v>12</v>
      </c>
      <c r="BO92" s="8" t="str">
        <f t="shared" si="84"/>
        <v>8,0,0,0,0,0,0,0,0,8</v>
      </c>
      <c r="BP92"/>
      <c r="BQ92" s="9" t="str">
        <f t="shared" si="85"/>
        <v>1983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1984</v>
      </c>
      <c r="AW93" t="s">
        <v>12</v>
      </c>
      <c r="AX93" s="8" t="str">
        <f t="shared" si="72"/>
        <v>0,0,0,0,0,0,0,0,0,0</v>
      </c>
      <c r="AY93" s="31"/>
      <c r="AZ93" s="9" t="str">
        <f t="shared" si="73"/>
        <v>1984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1985</v>
      </c>
      <c r="BN93" t="s">
        <v>12</v>
      </c>
      <c r="BO93" s="8" t="str">
        <f t="shared" si="84"/>
        <v>8,0,0,0,0,0,0,0,0,8</v>
      </c>
      <c r="BP93"/>
      <c r="BQ93" s="9" t="str">
        <f t="shared" si="85"/>
        <v>1985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1986</v>
      </c>
      <c r="AW94" t="s">
        <v>12</v>
      </c>
      <c r="AX94" s="8" t="str">
        <f t="shared" si="72"/>
        <v>0,0,0,0,0,0,0,0,0,0</v>
      </c>
      <c r="AY94" s="31"/>
      <c r="AZ94" s="9" t="str">
        <f t="shared" si="73"/>
        <v>1986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1987</v>
      </c>
      <c r="BN94" t="s">
        <v>12</v>
      </c>
      <c r="BO94" s="8" t="str">
        <f t="shared" si="84"/>
        <v>8,0,0,0,0,0,0,0,0,8</v>
      </c>
      <c r="BP94"/>
      <c r="BQ94" s="9" t="str">
        <f t="shared" si="85"/>
        <v>1987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1988</v>
      </c>
      <c r="AW95" t="s">
        <v>12</v>
      </c>
      <c r="AX95" s="8" t="str">
        <f t="shared" si="72"/>
        <v>0,0,0,0,0,0,0,0,0,0</v>
      </c>
      <c r="AY95" s="31"/>
      <c r="AZ95" s="9" t="str">
        <f t="shared" si="73"/>
        <v>1988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1989</v>
      </c>
      <c r="BN95" t="s">
        <v>12</v>
      </c>
      <c r="BO95" s="8" t="str">
        <f t="shared" si="84"/>
        <v>8,0,0,0,0,0,0,0,0,8</v>
      </c>
      <c r="BP95"/>
      <c r="BQ95" s="9" t="str">
        <f t="shared" si="85"/>
        <v>1989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1990</v>
      </c>
      <c r="AW96" t="s">
        <v>12</v>
      </c>
      <c r="AX96" s="8" t="str">
        <f t="shared" si="72"/>
        <v>0,0,0,0,0,0,0,0,0,0</v>
      </c>
      <c r="AY96" s="31"/>
      <c r="AZ96" s="9" t="str">
        <f t="shared" si="73"/>
        <v>1990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1991</v>
      </c>
      <c r="BN96" t="s">
        <v>12</v>
      </c>
      <c r="BO96" s="8" t="str">
        <f t="shared" si="84"/>
        <v>8,0,0,0,0,0,0,0,0,8</v>
      </c>
      <c r="BP96"/>
      <c r="BQ96" s="9" t="str">
        <f t="shared" si="85"/>
        <v>1991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1992</v>
      </c>
      <c r="AW97" t="s">
        <v>12</v>
      </c>
      <c r="AX97" s="8" t="str">
        <f t="shared" si="72"/>
        <v>0,0,0,0,0,0,0,0,0,0</v>
      </c>
      <c r="AY97" s="31"/>
      <c r="AZ97" s="9" t="str">
        <f t="shared" si="73"/>
        <v>1992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1993</v>
      </c>
      <c r="BN97" t="s">
        <v>12</v>
      </c>
      <c r="BO97" s="8" t="str">
        <f t="shared" si="84"/>
        <v>8,0,0,0,0,0,0,0,0,8</v>
      </c>
      <c r="BP97"/>
      <c r="BQ97" s="9" t="str">
        <f t="shared" si="85"/>
        <v>1993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1994</v>
      </c>
      <c r="AW98" t="s">
        <v>12</v>
      </c>
      <c r="AX98" s="8" t="str">
        <f t="shared" si="72"/>
        <v>0,0,0,0,0,0,0,0,0,0</v>
      </c>
      <c r="AY98" s="31"/>
      <c r="AZ98" s="9" t="str">
        <f t="shared" si="73"/>
        <v>1994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1995</v>
      </c>
      <c r="BN98" t="s">
        <v>12</v>
      </c>
      <c r="BO98" s="8" t="str">
        <f t="shared" si="84"/>
        <v>8,0,0,0,0,0,0,0,0,8</v>
      </c>
      <c r="BP98"/>
      <c r="BQ98" s="9" t="str">
        <f t="shared" si="85"/>
        <v>1995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1996</v>
      </c>
      <c r="AW99" t="s">
        <v>12</v>
      </c>
      <c r="AX99" s="8" t="str">
        <f t="shared" si="72"/>
        <v>0,0,0,0,0,0,0,0,0,0</v>
      </c>
      <c r="AY99" s="31"/>
      <c r="AZ99" s="9" t="str">
        <f t="shared" si="73"/>
        <v>1996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1997</v>
      </c>
      <c r="BN99" t="s">
        <v>12</v>
      </c>
      <c r="BO99" s="8" t="str">
        <f t="shared" si="84"/>
        <v>8,0,0,0,0,0,0,0,0,8</v>
      </c>
      <c r="BP99"/>
      <c r="BQ99" s="9" t="str">
        <f t="shared" si="85"/>
        <v>1997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1998</v>
      </c>
      <c r="AW100" t="s">
        <v>12</v>
      </c>
      <c r="AX100" s="8" t="str">
        <f t="shared" si="72"/>
        <v>0,0,0,0,0,0,0,0,0,0</v>
      </c>
      <c r="AY100" s="31"/>
      <c r="AZ100" s="9" t="str">
        <f t="shared" si="73"/>
        <v>1998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1999</v>
      </c>
      <c r="BN100" t="s">
        <v>12</v>
      </c>
      <c r="BO100" s="8" t="str">
        <f t="shared" si="84"/>
        <v>8,0,0,0,0,0,0,0,0,8</v>
      </c>
      <c r="BP100"/>
      <c r="BQ100" s="9" t="str">
        <f t="shared" si="85"/>
        <v>1999 DATA 8,0,0,0,0,0,0,0,0,8</v>
      </c>
    </row>
    <row r="110" spans="1:72">
      <c r="A110">
        <f t="shared" ref="A110:A141" si="88">S1</f>
        <v>14256</v>
      </c>
      <c r="B110" s="3">
        <f t="shared" ref="B110:B141" si="89">T1</f>
        <v>0</v>
      </c>
      <c r="C110" s="3">
        <f t="shared" ref="C110:C141" si="90">U1</f>
        <v>0</v>
      </c>
      <c r="D110" s="3">
        <f t="shared" ref="D110:D141" si="91">V1</f>
        <v>0</v>
      </c>
      <c r="E110" s="3">
        <f t="shared" ref="E110:E141" si="92">W1</f>
        <v>0</v>
      </c>
      <c r="F110" s="3">
        <f t="shared" ref="F110:F141" si="93">X1</f>
        <v>32</v>
      </c>
      <c r="G110" s="3">
        <f t="shared" ref="G110:G141" si="94">Y1</f>
        <v>8</v>
      </c>
      <c r="H110" s="3">
        <f t="shared" ref="H110:H141" si="95">Z1</f>
        <v>52</v>
      </c>
      <c r="I110" s="3">
        <f t="shared" ref="I110:I141" si="96">AA1</f>
        <v>32</v>
      </c>
      <c r="J110" s="3">
        <f t="shared" ref="J110:J141" si="97">AB1</f>
        <v>228</v>
      </c>
      <c r="K110" s="3">
        <f t="shared" ref="K110:K141" si="98">AC1</f>
        <v>52</v>
      </c>
      <c r="L110" s="3">
        <f t="shared" ref="L110:L141" si="99">AD1</f>
        <v>127</v>
      </c>
      <c r="M110" s="3">
        <f t="shared" ref="M110:M141" si="100">AE1</f>
        <v>13</v>
      </c>
      <c r="N110" s="3">
        <f t="shared" ref="N110:N141" si="101">AF1</f>
        <v>10</v>
      </c>
      <c r="O110" s="3">
        <f t="shared" ref="O110:O141" si="102">AG1</f>
        <v>32</v>
      </c>
      <c r="P110" s="3">
        <f t="shared" ref="P110:P141" si="103">AH1</f>
        <v>32</v>
      </c>
      <c r="Q110" s="3">
        <f t="shared" ref="Q110:Q141" si="104">AI1</f>
        <v>32</v>
      </c>
      <c r="S110">
        <f t="shared" ref="S110:AA110" si="105">A110</f>
        <v>14256</v>
      </c>
      <c r="T110">
        <f t="shared" si="105"/>
        <v>0</v>
      </c>
      <c r="U110">
        <f t="shared" si="105"/>
        <v>0</v>
      </c>
      <c r="V110">
        <f t="shared" si="105"/>
        <v>0</v>
      </c>
      <c r="W110">
        <f t="shared" si="105"/>
        <v>0</v>
      </c>
      <c r="X110">
        <f t="shared" si="105"/>
        <v>32</v>
      </c>
      <c r="Y110">
        <f t="shared" si="105"/>
        <v>8</v>
      </c>
      <c r="Z110">
        <f t="shared" si="105"/>
        <v>52</v>
      </c>
      <c r="AA110">
        <f t="shared" si="105"/>
        <v>32</v>
      </c>
      <c r="AB110">
        <f>SUM(S110:AA110)</f>
        <v>14380</v>
      </c>
      <c r="AD110">
        <f>S110+8</f>
        <v>14264</v>
      </c>
      <c r="AE110" s="2">
        <f t="shared" ref="AE110:AI110" si="106">J110</f>
        <v>228</v>
      </c>
      <c r="AF110" s="2">
        <f t="shared" si="106"/>
        <v>52</v>
      </c>
      <c r="AG110" s="2">
        <f t="shared" si="106"/>
        <v>127</v>
      </c>
      <c r="AH110" s="2">
        <f t="shared" si="106"/>
        <v>13</v>
      </c>
      <c r="AI110" s="2">
        <f t="shared" si="106"/>
        <v>10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14272</v>
      </c>
      <c r="B111" s="3">
        <f t="shared" si="89"/>
        <v>32</v>
      </c>
      <c r="C111" s="3">
        <f t="shared" si="90"/>
        <v>32</v>
      </c>
      <c r="D111" s="3">
        <f t="shared" si="91"/>
        <v>77</v>
      </c>
      <c r="E111" s="3">
        <f t="shared" si="92"/>
        <v>79</v>
      </c>
      <c r="F111" s="3">
        <f t="shared" si="93"/>
        <v>86</v>
      </c>
      <c r="G111" s="3">
        <f t="shared" si="94"/>
        <v>69</v>
      </c>
      <c r="H111" s="3">
        <f t="shared" si="95"/>
        <v>32</v>
      </c>
      <c r="I111" s="3">
        <f t="shared" si="96"/>
        <v>84</v>
      </c>
      <c r="J111" s="3">
        <f t="shared" si="97"/>
        <v>79</v>
      </c>
      <c r="K111" s="3">
        <f t="shared" si="98"/>
        <v>79</v>
      </c>
      <c r="L111" s="3">
        <f t="shared" si="99"/>
        <v>76</v>
      </c>
      <c r="M111" s="3">
        <f t="shared" si="100"/>
        <v>46</v>
      </c>
      <c r="N111" s="3">
        <f t="shared" si="101"/>
        <v>13</v>
      </c>
      <c r="O111" s="3">
        <f t="shared" si="102"/>
        <v>10</v>
      </c>
      <c r="P111" s="3">
        <f t="shared" si="103"/>
        <v>10</v>
      </c>
      <c r="Q111" s="3">
        <f t="shared" si="104"/>
        <v>255</v>
      </c>
    </row>
    <row r="112" spans="1:72">
      <c r="A112">
        <f t="shared" si="88"/>
        <v>14288</v>
      </c>
      <c r="B112" s="3">
        <f t="shared" si="89"/>
        <v>32</v>
      </c>
      <c r="C112" s="3">
        <f t="shared" si="90"/>
        <v>227</v>
      </c>
      <c r="D112" s="3">
        <f t="shared" si="91"/>
        <v>53</v>
      </c>
      <c r="E112" s="3">
        <f t="shared" si="92"/>
        <v>32</v>
      </c>
      <c r="F112" s="3">
        <f t="shared" si="93"/>
        <v>185</v>
      </c>
      <c r="G112" s="3">
        <f t="shared" si="94"/>
        <v>56</v>
      </c>
      <c r="H112" s="3">
        <f t="shared" si="95"/>
        <v>174</v>
      </c>
      <c r="I112" s="3">
        <f t="shared" si="96"/>
        <v>85</v>
      </c>
      <c r="J112" s="3">
        <f t="shared" si="97"/>
        <v>53</v>
      </c>
      <c r="K112" s="3">
        <f t="shared" si="98"/>
        <v>56</v>
      </c>
      <c r="L112" s="3">
        <f t="shared" si="99"/>
        <v>173</v>
      </c>
      <c r="M112" s="3">
        <f t="shared" si="100"/>
        <v>84</v>
      </c>
      <c r="N112" s="3">
        <f t="shared" si="101"/>
        <v>53</v>
      </c>
      <c r="O112" s="3">
        <f t="shared" si="102"/>
        <v>237</v>
      </c>
      <c r="P112" s="3">
        <f t="shared" si="103"/>
        <v>82</v>
      </c>
      <c r="Q112" s="3">
        <f t="shared" si="104"/>
        <v>53</v>
      </c>
    </row>
    <row r="113" spans="1:17">
      <c r="A113">
        <f t="shared" si="88"/>
        <v>14304</v>
      </c>
      <c r="B113" s="3">
        <f t="shared" si="89"/>
        <v>141</v>
      </c>
      <c r="C113" s="3">
        <f t="shared" si="90"/>
        <v>176</v>
      </c>
      <c r="D113" s="3">
        <f t="shared" si="91"/>
        <v>55</v>
      </c>
      <c r="E113" s="3">
        <f t="shared" si="92"/>
        <v>176</v>
      </c>
      <c r="F113" s="3">
        <f t="shared" si="93"/>
        <v>2</v>
      </c>
      <c r="G113" s="3">
        <f t="shared" si="94"/>
        <v>202</v>
      </c>
      <c r="H113" s="3">
        <f t="shared" si="95"/>
        <v>56</v>
      </c>
      <c r="I113" s="3">
        <f t="shared" si="96"/>
        <v>138</v>
      </c>
      <c r="J113" s="3">
        <f t="shared" si="97"/>
        <v>237</v>
      </c>
      <c r="K113" s="3">
        <f t="shared" si="98"/>
        <v>83</v>
      </c>
      <c r="L113" s="3">
        <f t="shared" si="99"/>
        <v>53</v>
      </c>
      <c r="M113" s="3">
        <f t="shared" si="100"/>
        <v>141</v>
      </c>
      <c r="N113" s="3">
        <f t="shared" si="101"/>
        <v>177</v>
      </c>
      <c r="O113" s="3">
        <f t="shared" si="102"/>
        <v>55</v>
      </c>
      <c r="P113" s="3">
        <f t="shared" si="103"/>
        <v>176</v>
      </c>
      <c r="Q113" s="3">
        <f t="shared" si="104"/>
        <v>3</v>
      </c>
    </row>
    <row r="114" spans="1:17">
      <c r="A114">
        <f t="shared" si="88"/>
        <v>14320</v>
      </c>
      <c r="B114" s="3">
        <f t="shared" si="89"/>
        <v>169</v>
      </c>
      <c r="C114" s="3">
        <f t="shared" si="90"/>
        <v>0</v>
      </c>
      <c r="D114" s="3">
        <f t="shared" si="91"/>
        <v>96</v>
      </c>
      <c r="E114" s="3">
        <f t="shared" si="92"/>
        <v>160</v>
      </c>
      <c r="F114" s="3">
        <f t="shared" si="93"/>
        <v>3</v>
      </c>
      <c r="G114" s="3">
        <f t="shared" si="94"/>
        <v>185</v>
      </c>
      <c r="H114" s="3">
        <f t="shared" si="95"/>
        <v>251</v>
      </c>
      <c r="I114" s="3">
        <f t="shared" si="96"/>
        <v>0</v>
      </c>
      <c r="J114" s="3">
        <f t="shared" si="97"/>
        <v>72</v>
      </c>
      <c r="K114" s="3">
        <f t="shared" si="98"/>
        <v>136</v>
      </c>
      <c r="L114" s="3">
        <f t="shared" si="99"/>
        <v>16</v>
      </c>
      <c r="M114" s="3">
        <f t="shared" si="100"/>
        <v>249</v>
      </c>
      <c r="N114" s="3">
        <f t="shared" si="101"/>
        <v>56</v>
      </c>
      <c r="O114" s="3">
        <f t="shared" si="102"/>
        <v>173</v>
      </c>
      <c r="P114" s="3">
        <f t="shared" si="103"/>
        <v>83</v>
      </c>
      <c r="Q114" s="3">
        <f t="shared" si="104"/>
        <v>53</v>
      </c>
    </row>
    <row r="115" spans="1:17">
      <c r="A115">
        <f t="shared" si="88"/>
        <v>14336</v>
      </c>
      <c r="B115" s="3">
        <f t="shared" si="89"/>
        <v>205</v>
      </c>
      <c r="C115" s="3">
        <f t="shared" si="90"/>
        <v>179</v>
      </c>
      <c r="D115" s="3">
        <f t="shared" si="91"/>
        <v>55</v>
      </c>
      <c r="E115" s="3">
        <f t="shared" si="92"/>
        <v>144</v>
      </c>
      <c r="F115" s="3">
        <f t="shared" si="93"/>
        <v>64</v>
      </c>
      <c r="G115" s="3">
        <f t="shared" si="94"/>
        <v>208</v>
      </c>
      <c r="H115" s="3">
        <f t="shared" si="95"/>
        <v>24</v>
      </c>
      <c r="I115" s="3">
        <f t="shared" si="96"/>
        <v>173</v>
      </c>
      <c r="J115" s="3">
        <f t="shared" si="97"/>
        <v>82</v>
      </c>
      <c r="K115" s="3">
        <f t="shared" si="98"/>
        <v>53</v>
      </c>
      <c r="L115" s="3">
        <f t="shared" si="99"/>
        <v>205</v>
      </c>
      <c r="M115" s="3">
        <f t="shared" si="100"/>
        <v>178</v>
      </c>
      <c r="N115" s="3">
        <f t="shared" si="101"/>
        <v>55</v>
      </c>
      <c r="O115" s="3">
        <f t="shared" si="102"/>
        <v>144</v>
      </c>
      <c r="P115" s="3">
        <f t="shared" si="103"/>
        <v>54</v>
      </c>
      <c r="Q115" s="3">
        <f t="shared" si="104"/>
        <v>208</v>
      </c>
    </row>
    <row r="116" spans="1:17">
      <c r="A116">
        <f t="shared" si="88"/>
        <v>14352</v>
      </c>
      <c r="B116" s="3">
        <f t="shared" si="89"/>
        <v>14</v>
      </c>
      <c r="C116" s="3">
        <f t="shared" si="90"/>
        <v>160</v>
      </c>
      <c r="D116" s="3">
        <f t="shared" si="91"/>
        <v>0</v>
      </c>
      <c r="E116" s="3">
        <f t="shared" si="92"/>
        <v>104</v>
      </c>
      <c r="F116" s="3">
        <f t="shared" si="93"/>
        <v>153</v>
      </c>
      <c r="G116" s="3">
        <f t="shared" si="94"/>
        <v>251</v>
      </c>
      <c r="H116" s="3">
        <f t="shared" si="95"/>
        <v>0</v>
      </c>
      <c r="I116" s="3">
        <f t="shared" si="96"/>
        <v>200</v>
      </c>
      <c r="J116" s="3">
        <f t="shared" si="97"/>
        <v>192</v>
      </c>
      <c r="K116" s="3">
        <f t="shared" si="98"/>
        <v>4</v>
      </c>
      <c r="L116" s="3">
        <f t="shared" si="99"/>
        <v>208</v>
      </c>
      <c r="M116" s="3">
        <f t="shared" si="100"/>
        <v>247</v>
      </c>
      <c r="N116" s="3">
        <f t="shared" si="101"/>
        <v>169</v>
      </c>
      <c r="O116" s="3">
        <f t="shared" si="102"/>
        <v>255</v>
      </c>
      <c r="P116" s="3">
        <f t="shared" si="103"/>
        <v>96</v>
      </c>
      <c r="Q116" s="3">
        <f t="shared" si="104"/>
        <v>32</v>
      </c>
    </row>
    <row r="117" spans="1:17">
      <c r="A117">
        <f t="shared" si="88"/>
        <v>14368</v>
      </c>
      <c r="B117" s="3">
        <f t="shared" si="89"/>
        <v>164</v>
      </c>
      <c r="C117" s="3">
        <f t="shared" si="90"/>
        <v>56</v>
      </c>
      <c r="D117" s="3">
        <f t="shared" si="91"/>
        <v>160</v>
      </c>
      <c r="E117" s="3">
        <f t="shared" si="92"/>
        <v>0</v>
      </c>
      <c r="F117" s="3">
        <f t="shared" si="93"/>
        <v>174</v>
      </c>
      <c r="G117" s="3">
        <f t="shared" si="94"/>
        <v>177</v>
      </c>
      <c r="H117" s="3">
        <f t="shared" si="95"/>
        <v>55</v>
      </c>
      <c r="I117" s="3">
        <f t="shared" si="96"/>
        <v>240</v>
      </c>
      <c r="J117" s="3">
        <f t="shared" si="97"/>
        <v>14</v>
      </c>
      <c r="K117" s="3">
        <f t="shared" si="98"/>
        <v>177</v>
      </c>
      <c r="L117" s="3">
        <f t="shared" si="99"/>
        <v>251</v>
      </c>
      <c r="M117" s="3">
        <f t="shared" si="100"/>
        <v>145</v>
      </c>
      <c r="N117" s="3">
        <f t="shared" si="101"/>
        <v>253</v>
      </c>
      <c r="O117" s="3">
        <f t="shared" si="102"/>
        <v>200</v>
      </c>
      <c r="P117" s="3">
        <f t="shared" si="103"/>
        <v>208</v>
      </c>
      <c r="Q117" s="3">
        <f t="shared" si="104"/>
        <v>249</v>
      </c>
    </row>
    <row r="118" spans="1:17">
      <c r="A118">
        <f t="shared" si="88"/>
        <v>14384</v>
      </c>
      <c r="B118" s="3">
        <f t="shared" si="89"/>
        <v>230</v>
      </c>
      <c r="C118" s="3">
        <f t="shared" si="90"/>
        <v>252</v>
      </c>
      <c r="D118" s="3">
        <f t="shared" si="91"/>
        <v>230</v>
      </c>
      <c r="E118" s="3">
        <f t="shared" si="92"/>
        <v>254</v>
      </c>
      <c r="F118" s="3">
        <f t="shared" si="93"/>
        <v>202</v>
      </c>
      <c r="G118" s="3">
        <f t="shared" si="94"/>
        <v>208</v>
      </c>
      <c r="H118" s="3">
        <f t="shared" si="95"/>
        <v>242</v>
      </c>
      <c r="I118" s="3">
        <f t="shared" si="96"/>
        <v>136</v>
      </c>
      <c r="J118" s="3">
        <f t="shared" si="97"/>
        <v>200</v>
      </c>
      <c r="K118" s="3">
        <f t="shared" si="98"/>
        <v>177</v>
      </c>
      <c r="L118" s="3">
        <f t="shared" si="99"/>
        <v>251</v>
      </c>
      <c r="M118" s="3">
        <f t="shared" si="100"/>
        <v>145</v>
      </c>
      <c r="N118" s="3">
        <f t="shared" si="101"/>
        <v>253</v>
      </c>
      <c r="O118" s="3">
        <f t="shared" si="102"/>
        <v>204</v>
      </c>
      <c r="P118" s="3">
        <f t="shared" si="103"/>
        <v>176</v>
      </c>
      <c r="Q118" s="3">
        <f t="shared" si="104"/>
        <v>55</v>
      </c>
    </row>
    <row r="119" spans="1:17">
      <c r="A119">
        <f t="shared" si="88"/>
        <v>14400</v>
      </c>
      <c r="B119" s="3">
        <f t="shared" si="89"/>
        <v>208</v>
      </c>
      <c r="C119" s="3">
        <f t="shared" si="90"/>
        <v>246</v>
      </c>
      <c r="D119" s="3">
        <f t="shared" si="91"/>
        <v>76</v>
      </c>
      <c r="E119" s="3">
        <f t="shared" si="92"/>
        <v>17</v>
      </c>
      <c r="F119" s="3">
        <f t="shared" si="93"/>
        <v>56</v>
      </c>
      <c r="G119" s="3">
        <f t="shared" si="94"/>
        <v>173</v>
      </c>
      <c r="H119" s="3">
        <f t="shared" si="95"/>
        <v>177</v>
      </c>
      <c r="I119" s="3">
        <f t="shared" si="96"/>
        <v>55</v>
      </c>
      <c r="J119" s="3">
        <f t="shared" si="97"/>
        <v>240</v>
      </c>
      <c r="K119" s="3">
        <f t="shared" si="98"/>
        <v>72</v>
      </c>
      <c r="L119" s="3">
        <f t="shared" si="99"/>
        <v>172</v>
      </c>
      <c r="M119" s="3">
        <f t="shared" si="100"/>
        <v>177</v>
      </c>
      <c r="N119" s="3">
        <f t="shared" si="101"/>
        <v>55</v>
      </c>
      <c r="O119" s="3">
        <f t="shared" si="102"/>
        <v>173</v>
      </c>
      <c r="P119" s="3">
        <f t="shared" si="103"/>
        <v>176</v>
      </c>
      <c r="Q119" s="3">
        <f t="shared" si="104"/>
        <v>55</v>
      </c>
    </row>
    <row r="120" spans="1:17">
      <c r="A120">
        <f t="shared" si="88"/>
        <v>14416</v>
      </c>
      <c r="B120" s="3">
        <f t="shared" si="89"/>
        <v>56</v>
      </c>
      <c r="C120" s="3">
        <f t="shared" si="90"/>
        <v>233</v>
      </c>
      <c r="D120" s="3">
        <f t="shared" si="91"/>
        <v>255</v>
      </c>
      <c r="E120" s="3">
        <f t="shared" si="92"/>
        <v>176</v>
      </c>
      <c r="F120" s="3">
        <f t="shared" si="93"/>
        <v>1</v>
      </c>
      <c r="G120" s="3">
        <f t="shared" si="94"/>
        <v>136</v>
      </c>
      <c r="H120" s="3">
        <f t="shared" si="95"/>
        <v>170</v>
      </c>
      <c r="I120" s="3">
        <f t="shared" si="96"/>
        <v>132</v>
      </c>
      <c r="J120" s="3">
        <f t="shared" si="97"/>
        <v>254</v>
      </c>
      <c r="K120" s="3">
        <f t="shared" si="98"/>
        <v>138</v>
      </c>
      <c r="L120" s="3">
        <f t="shared" si="99"/>
        <v>24</v>
      </c>
      <c r="M120" s="3">
        <f t="shared" si="100"/>
        <v>109</v>
      </c>
      <c r="N120" s="3">
        <f t="shared" si="101"/>
        <v>82</v>
      </c>
      <c r="O120" s="3">
        <f t="shared" si="102"/>
        <v>53</v>
      </c>
      <c r="P120" s="3">
        <f t="shared" si="103"/>
        <v>133</v>
      </c>
      <c r="Q120" s="3">
        <f t="shared" si="104"/>
        <v>251</v>
      </c>
    </row>
    <row r="121" spans="1:17">
      <c r="A121">
        <f t="shared" si="88"/>
        <v>14432</v>
      </c>
      <c r="B121" s="3">
        <f t="shared" si="89"/>
        <v>144</v>
      </c>
      <c r="C121" s="3">
        <f t="shared" si="90"/>
        <v>1</v>
      </c>
      <c r="D121" s="3">
        <f t="shared" si="91"/>
        <v>200</v>
      </c>
      <c r="E121" s="3">
        <f t="shared" si="92"/>
        <v>152</v>
      </c>
      <c r="F121" s="3">
        <f t="shared" si="93"/>
        <v>109</v>
      </c>
      <c r="G121" s="3">
        <f t="shared" si="94"/>
        <v>83</v>
      </c>
      <c r="H121" s="3">
        <f t="shared" si="95"/>
        <v>53</v>
      </c>
      <c r="I121" s="3">
        <f t="shared" si="96"/>
        <v>133</v>
      </c>
      <c r="J121" s="3">
        <f t="shared" si="97"/>
        <v>252</v>
      </c>
      <c r="K121" s="3">
        <f t="shared" si="98"/>
        <v>138</v>
      </c>
      <c r="L121" s="3">
        <f t="shared" si="99"/>
        <v>24</v>
      </c>
      <c r="M121" s="3">
        <f t="shared" si="100"/>
        <v>109</v>
      </c>
      <c r="N121" s="3">
        <f t="shared" si="101"/>
        <v>178</v>
      </c>
      <c r="O121" s="3">
        <f t="shared" si="102"/>
        <v>55</v>
      </c>
      <c r="P121" s="3">
        <f t="shared" si="103"/>
        <v>133</v>
      </c>
      <c r="Q121" s="3">
        <f t="shared" si="104"/>
        <v>253</v>
      </c>
    </row>
    <row r="122" spans="1:17">
      <c r="A122">
        <f t="shared" si="88"/>
        <v>14448</v>
      </c>
      <c r="B122" s="3">
        <f t="shared" si="89"/>
        <v>144</v>
      </c>
      <c r="C122" s="3">
        <f t="shared" si="90"/>
        <v>2</v>
      </c>
      <c r="D122" s="3">
        <f t="shared" si="91"/>
        <v>230</v>
      </c>
      <c r="E122" s="3">
        <f t="shared" si="92"/>
        <v>254</v>
      </c>
      <c r="F122" s="3">
        <f t="shared" si="93"/>
        <v>165</v>
      </c>
      <c r="G122" s="3">
        <f t="shared" si="94"/>
        <v>254</v>
      </c>
      <c r="H122" s="3">
        <f t="shared" si="95"/>
        <v>109</v>
      </c>
      <c r="I122" s="3">
        <f t="shared" si="96"/>
        <v>179</v>
      </c>
      <c r="J122" s="3">
        <f t="shared" si="97"/>
        <v>55</v>
      </c>
      <c r="K122" s="3">
        <f t="shared" si="98"/>
        <v>133</v>
      </c>
      <c r="L122" s="3">
        <f t="shared" si="99"/>
        <v>254</v>
      </c>
      <c r="M122" s="3">
        <f t="shared" si="100"/>
        <v>174</v>
      </c>
      <c r="N122" s="3">
        <f t="shared" si="101"/>
        <v>177</v>
      </c>
      <c r="O122" s="3">
        <f t="shared" si="102"/>
        <v>55</v>
      </c>
      <c r="P122" s="3">
        <f t="shared" si="103"/>
        <v>160</v>
      </c>
      <c r="Q122" s="3">
        <f t="shared" si="104"/>
        <v>255</v>
      </c>
    </row>
    <row r="123" spans="1:17">
      <c r="A123">
        <f t="shared" si="88"/>
        <v>14464</v>
      </c>
      <c r="B123" s="3">
        <f t="shared" si="89"/>
        <v>177</v>
      </c>
      <c r="C123" s="3">
        <f t="shared" si="90"/>
        <v>251</v>
      </c>
      <c r="D123" s="3">
        <f t="shared" si="91"/>
        <v>145</v>
      </c>
      <c r="E123" s="3">
        <f t="shared" si="92"/>
        <v>253</v>
      </c>
      <c r="F123" s="3">
        <f t="shared" si="93"/>
        <v>136</v>
      </c>
      <c r="G123" s="3">
        <f t="shared" si="94"/>
        <v>208</v>
      </c>
      <c r="H123" s="3">
        <f t="shared" si="95"/>
        <v>249</v>
      </c>
      <c r="I123" s="3">
        <f t="shared" si="96"/>
        <v>177</v>
      </c>
      <c r="J123" s="3">
        <f t="shared" si="97"/>
        <v>251</v>
      </c>
      <c r="K123" s="3">
        <f t="shared" si="98"/>
        <v>145</v>
      </c>
      <c r="L123" s="3">
        <f t="shared" si="99"/>
        <v>253</v>
      </c>
      <c r="M123" s="3">
        <f t="shared" si="100"/>
        <v>198</v>
      </c>
      <c r="N123" s="3">
        <f t="shared" si="101"/>
        <v>252</v>
      </c>
      <c r="O123" s="3">
        <f t="shared" si="102"/>
        <v>198</v>
      </c>
      <c r="P123" s="3">
        <f t="shared" si="103"/>
        <v>254</v>
      </c>
      <c r="Q123" s="3">
        <f t="shared" si="104"/>
        <v>202</v>
      </c>
    </row>
    <row r="124" spans="1:17">
      <c r="A124">
        <f t="shared" si="88"/>
        <v>14480</v>
      </c>
      <c r="B124" s="3">
        <f t="shared" si="89"/>
        <v>208</v>
      </c>
      <c r="C124" s="3">
        <f t="shared" si="90"/>
        <v>236</v>
      </c>
      <c r="D124" s="3">
        <f t="shared" si="91"/>
        <v>32</v>
      </c>
      <c r="E124" s="3">
        <f t="shared" si="92"/>
        <v>164</v>
      </c>
      <c r="F124" s="3">
        <f t="shared" si="93"/>
        <v>56</v>
      </c>
      <c r="G124" s="3">
        <f t="shared" si="94"/>
        <v>172</v>
      </c>
      <c r="H124" s="3">
        <f t="shared" si="95"/>
        <v>176</v>
      </c>
      <c r="I124" s="3">
        <f t="shared" si="96"/>
        <v>55</v>
      </c>
      <c r="J124" s="3">
        <f t="shared" si="97"/>
        <v>177</v>
      </c>
      <c r="K124" s="3">
        <f t="shared" si="98"/>
        <v>251</v>
      </c>
      <c r="L124" s="3">
        <f t="shared" si="99"/>
        <v>145</v>
      </c>
      <c r="M124" s="3">
        <f t="shared" si="100"/>
        <v>253</v>
      </c>
      <c r="N124" s="3">
        <f t="shared" si="101"/>
        <v>136</v>
      </c>
      <c r="O124" s="3">
        <f t="shared" si="102"/>
        <v>192</v>
      </c>
      <c r="P124" s="3">
        <f t="shared" si="103"/>
        <v>255</v>
      </c>
      <c r="Q124" s="3">
        <f t="shared" si="104"/>
        <v>208</v>
      </c>
    </row>
    <row r="125" spans="1:17">
      <c r="A125">
        <f t="shared" si="88"/>
        <v>14496</v>
      </c>
      <c r="B125" s="3">
        <f t="shared" si="89"/>
        <v>247</v>
      </c>
      <c r="C125" s="3">
        <f t="shared" si="90"/>
        <v>76</v>
      </c>
      <c r="D125" s="3">
        <f t="shared" si="91"/>
        <v>17</v>
      </c>
      <c r="E125" s="3">
        <f t="shared" si="92"/>
        <v>56</v>
      </c>
      <c r="F125" s="3">
        <f t="shared" si="93"/>
        <v>173</v>
      </c>
      <c r="G125" s="3">
        <f t="shared" si="94"/>
        <v>82</v>
      </c>
      <c r="H125" s="3">
        <f t="shared" si="95"/>
        <v>53</v>
      </c>
      <c r="I125" s="3">
        <f t="shared" si="96"/>
        <v>133</v>
      </c>
      <c r="J125" s="3">
        <f t="shared" si="97"/>
        <v>251</v>
      </c>
      <c r="K125" s="3">
        <f t="shared" si="98"/>
        <v>173</v>
      </c>
      <c r="L125" s="3">
        <f t="shared" si="99"/>
        <v>83</v>
      </c>
      <c r="M125" s="3">
        <f t="shared" si="100"/>
        <v>53</v>
      </c>
      <c r="N125" s="3">
        <f t="shared" si="101"/>
        <v>133</v>
      </c>
      <c r="O125" s="3">
        <f t="shared" si="102"/>
        <v>252</v>
      </c>
      <c r="P125" s="3">
        <f t="shared" si="103"/>
        <v>173</v>
      </c>
      <c r="Q125" s="3">
        <f t="shared" si="104"/>
        <v>178</v>
      </c>
    </row>
    <row r="126" spans="1:17">
      <c r="A126">
        <f t="shared" si="88"/>
        <v>14512</v>
      </c>
      <c r="B126" s="3">
        <f t="shared" si="89"/>
        <v>55</v>
      </c>
      <c r="C126" s="3">
        <f t="shared" si="90"/>
        <v>133</v>
      </c>
      <c r="D126" s="3">
        <f t="shared" si="91"/>
        <v>253</v>
      </c>
      <c r="E126" s="3">
        <f t="shared" si="92"/>
        <v>173</v>
      </c>
      <c r="F126" s="3">
        <f t="shared" si="93"/>
        <v>179</v>
      </c>
      <c r="G126" s="3">
        <f t="shared" si="94"/>
        <v>55</v>
      </c>
      <c r="H126" s="3">
        <f t="shared" si="95"/>
        <v>133</v>
      </c>
      <c r="I126" s="3">
        <f t="shared" si="96"/>
        <v>254</v>
      </c>
      <c r="J126" s="3">
        <f t="shared" si="97"/>
        <v>96</v>
      </c>
      <c r="K126" s="3">
        <f t="shared" si="98"/>
        <v>32</v>
      </c>
      <c r="L126" s="3">
        <f t="shared" si="99"/>
        <v>8</v>
      </c>
      <c r="M126" s="3">
        <f t="shared" si="100"/>
        <v>52</v>
      </c>
      <c r="N126" s="3">
        <f t="shared" si="101"/>
        <v>32</v>
      </c>
      <c r="O126" s="3">
        <f t="shared" si="102"/>
        <v>228</v>
      </c>
      <c r="P126" s="3">
        <f t="shared" si="103"/>
        <v>52</v>
      </c>
      <c r="Q126" s="3">
        <f t="shared" si="104"/>
        <v>127</v>
      </c>
    </row>
    <row r="127" spans="1:17">
      <c r="A127">
        <f t="shared" si="88"/>
        <v>14528</v>
      </c>
      <c r="B127" s="3">
        <f t="shared" si="89"/>
        <v>13</v>
      </c>
      <c r="C127" s="3">
        <f t="shared" si="90"/>
        <v>10</v>
      </c>
      <c r="D127" s="3">
        <f t="shared" si="91"/>
        <v>83</v>
      </c>
      <c r="E127" s="3">
        <f t="shared" si="92"/>
        <v>69</v>
      </c>
      <c r="F127" s="3">
        <f t="shared" si="93"/>
        <v>84</v>
      </c>
      <c r="G127" s="3">
        <f t="shared" si="94"/>
        <v>32</v>
      </c>
      <c r="H127" s="3">
        <f t="shared" si="95"/>
        <v>68</v>
      </c>
      <c r="I127" s="3">
        <f t="shared" si="96"/>
        <v>69</v>
      </c>
      <c r="J127" s="3">
        <f t="shared" si="97"/>
        <v>83</v>
      </c>
      <c r="K127" s="3">
        <f t="shared" si="98"/>
        <v>84</v>
      </c>
      <c r="L127" s="3">
        <f t="shared" si="99"/>
        <v>73</v>
      </c>
      <c r="M127" s="3">
        <f t="shared" si="100"/>
        <v>78</v>
      </c>
      <c r="N127" s="3">
        <f t="shared" si="101"/>
        <v>65</v>
      </c>
      <c r="O127" s="3">
        <f t="shared" si="102"/>
        <v>84</v>
      </c>
      <c r="P127" s="3">
        <f t="shared" si="103"/>
        <v>73</v>
      </c>
      <c r="Q127" s="3">
        <f t="shared" si="104"/>
        <v>79</v>
      </c>
    </row>
    <row r="128" spans="1:17">
      <c r="A128">
        <f t="shared" si="88"/>
        <v>14544</v>
      </c>
      <c r="B128" s="3">
        <f t="shared" si="89"/>
        <v>78</v>
      </c>
      <c r="C128" s="3">
        <f t="shared" si="90"/>
        <v>32</v>
      </c>
      <c r="D128" s="3">
        <f t="shared" si="91"/>
        <v>65</v>
      </c>
      <c r="E128" s="3">
        <f t="shared" si="92"/>
        <v>78</v>
      </c>
      <c r="F128" s="3">
        <f t="shared" si="93"/>
        <v>68</v>
      </c>
      <c r="G128" s="3">
        <f t="shared" si="94"/>
        <v>32</v>
      </c>
      <c r="H128" s="3">
        <f t="shared" si="95"/>
        <v>80</v>
      </c>
      <c r="I128" s="3">
        <f t="shared" si="96"/>
        <v>82</v>
      </c>
      <c r="J128" s="3">
        <f t="shared" si="97"/>
        <v>69</v>
      </c>
      <c r="K128" s="3">
        <f t="shared" si="98"/>
        <v>83</v>
      </c>
      <c r="L128" s="3">
        <f t="shared" si="99"/>
        <v>83</v>
      </c>
      <c r="M128" s="3">
        <f t="shared" si="100"/>
        <v>32</v>
      </c>
      <c r="N128" s="3">
        <f t="shared" si="101"/>
        <v>81</v>
      </c>
      <c r="O128" s="3">
        <f t="shared" si="102"/>
        <v>46</v>
      </c>
      <c r="P128" s="3">
        <f t="shared" si="103"/>
        <v>255</v>
      </c>
      <c r="Q128" s="3">
        <f t="shared" si="104"/>
        <v>32</v>
      </c>
    </row>
    <row r="129" spans="1:17">
      <c r="A129">
        <f t="shared" si="88"/>
        <v>14560</v>
      </c>
      <c r="B129" s="3">
        <f t="shared" si="89"/>
        <v>7</v>
      </c>
      <c r="C129" s="3">
        <f t="shared" si="90"/>
        <v>50</v>
      </c>
      <c r="D129" s="3">
        <f t="shared" si="91"/>
        <v>173</v>
      </c>
      <c r="E129" s="3">
        <f t="shared" si="92"/>
        <v>5</v>
      </c>
      <c r="F129" s="3">
        <f t="shared" si="93"/>
        <v>50</v>
      </c>
      <c r="G129" s="3">
        <f t="shared" si="94"/>
        <v>141</v>
      </c>
      <c r="H129" s="3">
        <f t="shared" si="95"/>
        <v>178</v>
      </c>
      <c r="I129" s="3">
        <f t="shared" si="96"/>
        <v>55</v>
      </c>
      <c r="J129" s="3">
        <f t="shared" si="97"/>
        <v>173</v>
      </c>
      <c r="K129" s="3">
        <f t="shared" si="98"/>
        <v>6</v>
      </c>
      <c r="L129" s="3">
        <f t="shared" si="99"/>
        <v>50</v>
      </c>
      <c r="M129" s="3">
        <f t="shared" si="100"/>
        <v>141</v>
      </c>
      <c r="N129" s="3">
        <f t="shared" si="101"/>
        <v>179</v>
      </c>
      <c r="O129" s="3">
        <f t="shared" si="102"/>
        <v>55</v>
      </c>
      <c r="P129" s="3">
        <f t="shared" si="103"/>
        <v>96</v>
      </c>
      <c r="Q129" s="3">
        <f t="shared" si="104"/>
        <v>0</v>
      </c>
    </row>
    <row r="130" spans="1:17">
      <c r="A130">
        <f t="shared" si="88"/>
        <v>0</v>
      </c>
      <c r="B130" s="3">
        <f t="shared" si="89"/>
        <v>0</v>
      </c>
      <c r="C130" s="3">
        <f t="shared" si="90"/>
        <v>0</v>
      </c>
      <c r="D130" s="3">
        <f t="shared" si="91"/>
        <v>0</v>
      </c>
      <c r="E130" s="3">
        <f t="shared" si="92"/>
        <v>0</v>
      </c>
      <c r="F130" s="3">
        <f t="shared" si="93"/>
        <v>0</v>
      </c>
      <c r="G130" s="3">
        <f t="shared" si="94"/>
        <v>0</v>
      </c>
      <c r="H130" s="3">
        <f t="shared" si="95"/>
        <v>0</v>
      </c>
      <c r="I130" s="3">
        <f t="shared" si="96"/>
        <v>0</v>
      </c>
      <c r="J130" s="3">
        <f t="shared" si="97"/>
        <v>0</v>
      </c>
      <c r="K130" s="3">
        <f t="shared" si="98"/>
        <v>0</v>
      </c>
      <c r="L130" s="3">
        <f t="shared" si="99"/>
        <v>0</v>
      </c>
      <c r="M130" s="3">
        <f t="shared" si="100"/>
        <v>0</v>
      </c>
      <c r="N130" s="3">
        <f t="shared" si="101"/>
        <v>0</v>
      </c>
      <c r="O130" s="3">
        <f t="shared" si="102"/>
        <v>0</v>
      </c>
      <c r="P130" s="3">
        <f t="shared" si="103"/>
        <v>0</v>
      </c>
      <c r="Q130" s="3">
        <f t="shared" si="104"/>
        <v>0</v>
      </c>
    </row>
    <row r="131" spans="1:17">
      <c r="A131">
        <f t="shared" si="88"/>
        <v>0</v>
      </c>
      <c r="B131" s="3">
        <f t="shared" si="89"/>
        <v>0</v>
      </c>
      <c r="C131" s="3">
        <f t="shared" si="90"/>
        <v>0</v>
      </c>
      <c r="D131" s="3">
        <f t="shared" si="91"/>
        <v>0</v>
      </c>
      <c r="E131" s="3">
        <f t="shared" si="92"/>
        <v>0</v>
      </c>
      <c r="F131" s="3">
        <f t="shared" si="93"/>
        <v>0</v>
      </c>
      <c r="G131" s="3">
        <f t="shared" si="94"/>
        <v>0</v>
      </c>
      <c r="H131" s="3">
        <f t="shared" si="95"/>
        <v>0</v>
      </c>
      <c r="I131" s="3">
        <f t="shared" si="96"/>
        <v>0</v>
      </c>
      <c r="J131" s="3">
        <f t="shared" si="97"/>
        <v>0</v>
      </c>
      <c r="K131" s="3">
        <f t="shared" si="98"/>
        <v>0</v>
      </c>
      <c r="L131" s="3">
        <f t="shared" si="99"/>
        <v>0</v>
      </c>
      <c r="M131" s="3">
        <f t="shared" si="100"/>
        <v>0</v>
      </c>
      <c r="N131" s="3">
        <f t="shared" si="101"/>
        <v>0</v>
      </c>
      <c r="O131" s="3">
        <f t="shared" si="102"/>
        <v>0</v>
      </c>
      <c r="P131" s="3">
        <f t="shared" si="103"/>
        <v>0</v>
      </c>
      <c r="Q131" s="3">
        <f t="shared" si="104"/>
        <v>0</v>
      </c>
    </row>
    <row r="132" spans="1:17">
      <c r="A132">
        <f t="shared" si="88"/>
        <v>0</v>
      </c>
      <c r="B132" s="3">
        <f t="shared" si="89"/>
        <v>0</v>
      </c>
      <c r="C132" s="3">
        <f t="shared" si="90"/>
        <v>0</v>
      </c>
      <c r="D132" s="3">
        <f t="shared" si="91"/>
        <v>0</v>
      </c>
      <c r="E132" s="3">
        <f t="shared" si="92"/>
        <v>0</v>
      </c>
      <c r="F132" s="3">
        <f t="shared" si="93"/>
        <v>0</v>
      </c>
      <c r="G132" s="3">
        <f t="shared" si="94"/>
        <v>0</v>
      </c>
      <c r="H132" s="3">
        <f t="shared" si="95"/>
        <v>0</v>
      </c>
      <c r="I132" s="3">
        <f t="shared" si="96"/>
        <v>0</v>
      </c>
      <c r="J132" s="3">
        <f t="shared" si="97"/>
        <v>0</v>
      </c>
      <c r="K132" s="3">
        <f t="shared" si="98"/>
        <v>0</v>
      </c>
      <c r="L132" s="3">
        <f t="shared" si="99"/>
        <v>0</v>
      </c>
      <c r="M132" s="3">
        <f t="shared" si="100"/>
        <v>0</v>
      </c>
      <c r="N132" s="3">
        <f t="shared" si="101"/>
        <v>0</v>
      </c>
      <c r="O132" s="3">
        <f t="shared" si="102"/>
        <v>0</v>
      </c>
      <c r="P132" s="3">
        <f t="shared" si="103"/>
        <v>0</v>
      </c>
      <c r="Q132" s="3">
        <f t="shared" si="104"/>
        <v>0</v>
      </c>
    </row>
    <row r="133" spans="1:17">
      <c r="A133">
        <f t="shared" si="88"/>
        <v>0</v>
      </c>
      <c r="B133" s="3">
        <f t="shared" si="89"/>
        <v>0</v>
      </c>
      <c r="C133" s="3">
        <f t="shared" si="90"/>
        <v>0</v>
      </c>
      <c r="D133" s="3">
        <f t="shared" si="91"/>
        <v>0</v>
      </c>
      <c r="E133" s="3">
        <f t="shared" si="92"/>
        <v>0</v>
      </c>
      <c r="F133" s="3">
        <f t="shared" si="93"/>
        <v>0</v>
      </c>
      <c r="G133" s="3">
        <f t="shared" si="94"/>
        <v>0</v>
      </c>
      <c r="H133" s="3">
        <f t="shared" si="95"/>
        <v>0</v>
      </c>
      <c r="I133" s="3">
        <f t="shared" si="96"/>
        <v>0</v>
      </c>
      <c r="J133" s="3">
        <f t="shared" si="97"/>
        <v>0</v>
      </c>
      <c r="K133" s="3">
        <f t="shared" si="98"/>
        <v>0</v>
      </c>
      <c r="L133" s="3">
        <f t="shared" si="99"/>
        <v>0</v>
      </c>
      <c r="M133" s="3">
        <f t="shared" si="100"/>
        <v>0</v>
      </c>
      <c r="N133" s="3">
        <f t="shared" si="101"/>
        <v>0</v>
      </c>
      <c r="O133" s="3">
        <f t="shared" si="102"/>
        <v>0</v>
      </c>
      <c r="P133" s="3">
        <f t="shared" si="103"/>
        <v>0</v>
      </c>
      <c r="Q133" s="3">
        <f t="shared" si="104"/>
        <v>0</v>
      </c>
    </row>
    <row r="134" spans="1:17">
      <c r="A134">
        <f t="shared" si="88"/>
        <v>0</v>
      </c>
      <c r="B134" s="3">
        <f t="shared" si="89"/>
        <v>0</v>
      </c>
      <c r="C134" s="3">
        <f t="shared" si="90"/>
        <v>0</v>
      </c>
      <c r="D134" s="3">
        <f t="shared" si="91"/>
        <v>0</v>
      </c>
      <c r="E134" s="3">
        <f t="shared" si="92"/>
        <v>0</v>
      </c>
      <c r="F134" s="3">
        <f t="shared" si="93"/>
        <v>0</v>
      </c>
      <c r="G134" s="3">
        <f t="shared" si="94"/>
        <v>0</v>
      </c>
      <c r="H134" s="3">
        <f t="shared" si="95"/>
        <v>0</v>
      </c>
      <c r="I134" s="3">
        <f t="shared" si="96"/>
        <v>0</v>
      </c>
      <c r="J134" s="3">
        <f t="shared" si="97"/>
        <v>0</v>
      </c>
      <c r="K134" s="3">
        <f t="shared" si="98"/>
        <v>0</v>
      </c>
      <c r="L134" s="3">
        <f t="shared" si="99"/>
        <v>0</v>
      </c>
      <c r="M134" s="3">
        <f t="shared" si="100"/>
        <v>0</v>
      </c>
      <c r="N134" s="3">
        <f t="shared" si="101"/>
        <v>0</v>
      </c>
      <c r="O134" s="3">
        <f t="shared" si="102"/>
        <v>0</v>
      </c>
      <c r="P134" s="3">
        <f t="shared" si="103"/>
        <v>0</v>
      </c>
      <c r="Q134" s="3">
        <f t="shared" si="104"/>
        <v>0</v>
      </c>
    </row>
    <row r="135" spans="1:17">
      <c r="A135">
        <f t="shared" si="88"/>
        <v>0</v>
      </c>
      <c r="B135" s="3">
        <f t="shared" si="89"/>
        <v>0</v>
      </c>
      <c r="C135" s="3">
        <f t="shared" si="90"/>
        <v>0</v>
      </c>
      <c r="D135" s="3">
        <f t="shared" si="91"/>
        <v>0</v>
      </c>
      <c r="E135" s="3">
        <f t="shared" si="92"/>
        <v>0</v>
      </c>
      <c r="F135" s="3">
        <f t="shared" si="93"/>
        <v>0</v>
      </c>
      <c r="G135" s="3">
        <f t="shared" si="94"/>
        <v>0</v>
      </c>
      <c r="H135" s="3">
        <f t="shared" si="95"/>
        <v>0</v>
      </c>
      <c r="I135" s="3">
        <f t="shared" si="96"/>
        <v>0</v>
      </c>
      <c r="J135" s="3">
        <f t="shared" si="97"/>
        <v>0</v>
      </c>
      <c r="K135" s="3">
        <f t="shared" si="98"/>
        <v>0</v>
      </c>
      <c r="L135" s="3">
        <f t="shared" si="99"/>
        <v>0</v>
      </c>
      <c r="M135" s="3">
        <f t="shared" si="100"/>
        <v>0</v>
      </c>
      <c r="N135" s="3">
        <f t="shared" si="101"/>
        <v>0</v>
      </c>
      <c r="O135" s="3">
        <f t="shared" si="102"/>
        <v>0</v>
      </c>
      <c r="P135" s="3">
        <f t="shared" si="103"/>
        <v>0</v>
      </c>
      <c r="Q135" s="3">
        <f t="shared" si="104"/>
        <v>0</v>
      </c>
    </row>
    <row r="136" spans="1:17">
      <c r="A136">
        <f t="shared" si="88"/>
        <v>0</v>
      </c>
      <c r="B136" s="3">
        <f t="shared" si="89"/>
        <v>0</v>
      </c>
      <c r="C136" s="3">
        <f t="shared" si="90"/>
        <v>0</v>
      </c>
      <c r="D136" s="3">
        <f t="shared" si="91"/>
        <v>0</v>
      </c>
      <c r="E136" s="3">
        <f t="shared" si="92"/>
        <v>0</v>
      </c>
      <c r="F136" s="3">
        <f t="shared" si="93"/>
        <v>0</v>
      </c>
      <c r="G136" s="3">
        <f t="shared" si="94"/>
        <v>0</v>
      </c>
      <c r="H136" s="3">
        <f t="shared" si="95"/>
        <v>0</v>
      </c>
      <c r="I136" s="3">
        <f t="shared" si="96"/>
        <v>0</v>
      </c>
      <c r="J136" s="3">
        <f t="shared" si="97"/>
        <v>0</v>
      </c>
      <c r="K136" s="3">
        <f t="shared" si="98"/>
        <v>0</v>
      </c>
      <c r="L136" s="3">
        <f t="shared" si="99"/>
        <v>0</v>
      </c>
      <c r="M136" s="3">
        <f t="shared" si="100"/>
        <v>0</v>
      </c>
      <c r="N136" s="3">
        <f t="shared" si="101"/>
        <v>0</v>
      </c>
      <c r="O136" s="3">
        <f t="shared" si="102"/>
        <v>0</v>
      </c>
      <c r="P136" s="3">
        <f t="shared" si="103"/>
        <v>0</v>
      </c>
      <c r="Q136" s="3">
        <f t="shared" si="104"/>
        <v>0</v>
      </c>
    </row>
    <row r="137" spans="1:17">
      <c r="A137">
        <f t="shared" si="88"/>
        <v>0</v>
      </c>
      <c r="B137" s="3">
        <f t="shared" si="89"/>
        <v>0</v>
      </c>
      <c r="C137" s="3">
        <f t="shared" si="90"/>
        <v>0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0</v>
      </c>
      <c r="H137" s="3">
        <f t="shared" si="95"/>
        <v>0</v>
      </c>
      <c r="I137" s="3">
        <f t="shared" si="96"/>
        <v>0</v>
      </c>
      <c r="J137" s="3">
        <f t="shared" si="97"/>
        <v>0</v>
      </c>
      <c r="K137" s="3">
        <f t="shared" si="98"/>
        <v>0</v>
      </c>
      <c r="L137" s="3">
        <f t="shared" si="99"/>
        <v>0</v>
      </c>
      <c r="M137" s="3">
        <f t="shared" si="100"/>
        <v>0</v>
      </c>
      <c r="N137" s="3">
        <f t="shared" si="101"/>
        <v>0</v>
      </c>
      <c r="O137" s="3">
        <f t="shared" si="102"/>
        <v>0</v>
      </c>
      <c r="P137" s="3">
        <f t="shared" si="103"/>
        <v>0</v>
      </c>
      <c r="Q137" s="3">
        <f t="shared" si="104"/>
        <v>0</v>
      </c>
    </row>
    <row r="138" spans="1:17">
      <c r="A138">
        <f t="shared" si="88"/>
        <v>0</v>
      </c>
      <c r="B138" s="3">
        <f t="shared" si="89"/>
        <v>0</v>
      </c>
      <c r="C138" s="3">
        <f t="shared" si="90"/>
        <v>0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0</v>
      </c>
      <c r="H138" s="3">
        <f t="shared" si="95"/>
        <v>0</v>
      </c>
      <c r="I138" s="3">
        <f t="shared" si="96"/>
        <v>0</v>
      </c>
      <c r="J138" s="3">
        <f t="shared" si="97"/>
        <v>0</v>
      </c>
      <c r="K138" s="3">
        <f t="shared" si="98"/>
        <v>0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0</v>
      </c>
      <c r="P138" s="3">
        <f t="shared" si="103"/>
        <v>0</v>
      </c>
      <c r="Q138" s="3">
        <f t="shared" si="104"/>
        <v>0</v>
      </c>
    </row>
    <row r="139" spans="1:17">
      <c r="A139">
        <f t="shared" si="88"/>
        <v>0</v>
      </c>
      <c r="B139" s="3">
        <f t="shared" si="89"/>
        <v>0</v>
      </c>
      <c r="C139" s="3">
        <f t="shared" si="90"/>
        <v>0</v>
      </c>
      <c r="D139" s="3">
        <f t="shared" si="91"/>
        <v>0</v>
      </c>
      <c r="E139" s="3">
        <f t="shared" si="92"/>
        <v>0</v>
      </c>
      <c r="F139" s="3">
        <f t="shared" si="93"/>
        <v>0</v>
      </c>
      <c r="G139" s="3">
        <f t="shared" si="94"/>
        <v>0</v>
      </c>
      <c r="H139" s="3">
        <f t="shared" si="95"/>
        <v>0</v>
      </c>
      <c r="I139" s="3">
        <f t="shared" si="96"/>
        <v>0</v>
      </c>
      <c r="J139" s="3">
        <f t="shared" si="97"/>
        <v>0</v>
      </c>
      <c r="K139" s="3">
        <f t="shared" si="98"/>
        <v>0</v>
      </c>
      <c r="L139" s="3">
        <f t="shared" si="99"/>
        <v>0</v>
      </c>
      <c r="M139" s="3">
        <f t="shared" si="100"/>
        <v>0</v>
      </c>
      <c r="N139" s="3">
        <f t="shared" si="101"/>
        <v>0</v>
      </c>
      <c r="O139" s="3">
        <f t="shared" si="102"/>
        <v>0</v>
      </c>
      <c r="P139" s="3">
        <f t="shared" si="103"/>
        <v>0</v>
      </c>
      <c r="Q139" s="3">
        <f t="shared" si="104"/>
        <v>0</v>
      </c>
    </row>
    <row r="140" spans="1:17">
      <c r="A140">
        <f t="shared" si="88"/>
        <v>0</v>
      </c>
      <c r="B140" s="3">
        <f t="shared" si="89"/>
        <v>0</v>
      </c>
      <c r="C140" s="3">
        <f t="shared" si="90"/>
        <v>0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0</v>
      </c>
      <c r="H140" s="3">
        <f t="shared" si="95"/>
        <v>0</v>
      </c>
      <c r="I140" s="3">
        <f t="shared" si="96"/>
        <v>0</v>
      </c>
      <c r="J140" s="3">
        <f t="shared" si="97"/>
        <v>0</v>
      </c>
      <c r="K140" s="3">
        <f t="shared" si="98"/>
        <v>0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0</v>
      </c>
      <c r="P140" s="3">
        <f t="shared" si="103"/>
        <v>0</v>
      </c>
      <c r="Q140" s="3">
        <f t="shared" si="104"/>
        <v>0</v>
      </c>
    </row>
    <row r="141" spans="1:17">
      <c r="A141">
        <f t="shared" si="88"/>
        <v>0</v>
      </c>
      <c r="B141" s="3">
        <f t="shared" si="89"/>
        <v>0</v>
      </c>
      <c r="C141" s="3">
        <f t="shared" si="90"/>
        <v>0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0</v>
      </c>
      <c r="H141" s="3">
        <f t="shared" si="95"/>
        <v>0</v>
      </c>
      <c r="I141" s="3">
        <f t="shared" si="96"/>
        <v>0</v>
      </c>
      <c r="J141" s="3">
        <f t="shared" si="97"/>
        <v>0</v>
      </c>
      <c r="K141" s="3">
        <f t="shared" si="98"/>
        <v>0</v>
      </c>
      <c r="L141" s="3">
        <f t="shared" si="99"/>
        <v>0</v>
      </c>
      <c r="M141" s="3">
        <f t="shared" si="100"/>
        <v>0</v>
      </c>
      <c r="N141" s="3">
        <f t="shared" si="101"/>
        <v>0</v>
      </c>
      <c r="O141" s="3">
        <f t="shared" si="102"/>
        <v>0</v>
      </c>
      <c r="P141" s="3">
        <f t="shared" si="103"/>
        <v>0</v>
      </c>
      <c r="Q141" s="3">
        <f t="shared" si="104"/>
        <v>0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topLeftCell="A8" workbookViewId="0">
      <selection sqref="A1:A40"/>
    </sheetView>
  </sheetViews>
  <sheetFormatPr defaultRowHeight="15"/>
  <sheetData>
    <row r="1" spans="1:1">
      <c r="A1" s="9" t="s">
        <v>69</v>
      </c>
    </row>
    <row r="2" spans="1:1">
      <c r="A2" s="9" t="s">
        <v>70</v>
      </c>
    </row>
    <row r="3" spans="1:1">
      <c r="A3" s="9" t="s">
        <v>71</v>
      </c>
    </row>
    <row r="4" spans="1:1">
      <c r="A4" s="9" t="s">
        <v>72</v>
      </c>
    </row>
    <row r="5" spans="1:1">
      <c r="A5" s="9" t="s">
        <v>73</v>
      </c>
    </row>
    <row r="6" spans="1:1">
      <c r="A6" s="9" t="s">
        <v>74</v>
      </c>
    </row>
    <row r="7" spans="1:1">
      <c r="A7" s="9" t="s">
        <v>75</v>
      </c>
    </row>
    <row r="8" spans="1:1">
      <c r="A8" s="9" t="s">
        <v>76</v>
      </c>
    </row>
    <row r="9" spans="1:1">
      <c r="A9" s="9" t="s">
        <v>77</v>
      </c>
    </row>
    <row r="10" spans="1:1">
      <c r="A10" s="9" t="s">
        <v>78</v>
      </c>
    </row>
    <row r="11" spans="1:1">
      <c r="A11" s="9" t="s">
        <v>79</v>
      </c>
    </row>
    <row r="12" spans="1:1">
      <c r="A12" s="9" t="s">
        <v>80</v>
      </c>
    </row>
    <row r="13" spans="1:1">
      <c r="A13" s="9" t="s">
        <v>81</v>
      </c>
    </row>
    <row r="14" spans="1:1">
      <c r="A14" s="9" t="s">
        <v>82</v>
      </c>
    </row>
    <row r="15" spans="1:1">
      <c r="A15" s="9" t="s">
        <v>83</v>
      </c>
    </row>
    <row r="16" spans="1:1">
      <c r="A16" s="9" t="s">
        <v>84</v>
      </c>
    </row>
    <row r="17" spans="1:1">
      <c r="A17" s="9" t="s">
        <v>85</v>
      </c>
    </row>
    <row r="18" spans="1:1">
      <c r="A18" s="9" t="s">
        <v>86</v>
      </c>
    </row>
    <row r="19" spans="1:1">
      <c r="A19" s="9" t="s">
        <v>87</v>
      </c>
    </row>
    <row r="20" spans="1:1">
      <c r="A20" s="9" t="s">
        <v>88</v>
      </c>
    </row>
    <row r="21" spans="1:1">
      <c r="A21" s="9" t="s">
        <v>89</v>
      </c>
    </row>
    <row r="22" spans="1:1">
      <c r="A22" s="9" t="s">
        <v>90</v>
      </c>
    </row>
    <row r="23" spans="1:1">
      <c r="A23" s="9" t="s">
        <v>91</v>
      </c>
    </row>
    <row r="24" spans="1:1">
      <c r="A24" s="9" t="s">
        <v>92</v>
      </c>
    </row>
    <row r="25" spans="1:1">
      <c r="A25" s="9" t="s">
        <v>93</v>
      </c>
    </row>
    <row r="26" spans="1:1">
      <c r="A26" s="9" t="s">
        <v>94</v>
      </c>
    </row>
    <row r="27" spans="1:1">
      <c r="A27" s="9" t="s">
        <v>95</v>
      </c>
    </row>
    <row r="28" spans="1:1">
      <c r="A28" s="9" t="s">
        <v>96</v>
      </c>
    </row>
    <row r="29" spans="1:1">
      <c r="A29" s="9" t="s">
        <v>97</v>
      </c>
    </row>
    <row r="30" spans="1:1">
      <c r="A30" s="9" t="s">
        <v>98</v>
      </c>
    </row>
    <row r="31" spans="1:1">
      <c r="A31" s="9" t="s">
        <v>99</v>
      </c>
    </row>
    <row r="32" spans="1:1">
      <c r="A32" s="9" t="s">
        <v>100</v>
      </c>
    </row>
    <row r="33" spans="1:1">
      <c r="A33" s="9" t="s">
        <v>101</v>
      </c>
    </row>
    <row r="34" spans="1:1">
      <c r="A34" s="9" t="s">
        <v>102</v>
      </c>
    </row>
    <row r="35" spans="1:1">
      <c r="A35" s="9" t="s">
        <v>103</v>
      </c>
    </row>
    <row r="36" spans="1:1">
      <c r="A36" s="9" t="s">
        <v>104</v>
      </c>
    </row>
    <row r="37" spans="1:1">
      <c r="A37" s="9" t="s">
        <v>105</v>
      </c>
    </row>
    <row r="38" spans="1:1">
      <c r="A38" s="9" t="s">
        <v>106</v>
      </c>
    </row>
    <row r="39" spans="1:1">
      <c r="A39" s="9" t="s">
        <v>107</v>
      </c>
    </row>
    <row r="40" spans="1:1">
      <c r="A40" s="9" t="s">
        <v>108</v>
      </c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5"/>
    </row>
    <row r="66" spans="1:1">
      <c r="A66" s="5"/>
    </row>
    <row r="67" spans="1:1">
      <c r="A67" s="5"/>
    </row>
    <row r="68" spans="1:1">
      <c r="A68" s="5"/>
    </row>
    <row r="69" spans="1:1">
      <c r="A69" s="5"/>
    </row>
    <row r="70" spans="1:1">
      <c r="A70" s="5"/>
    </row>
    <row r="71" spans="1:1">
      <c r="A71" s="5"/>
    </row>
    <row r="72" spans="1:1">
      <c r="A72" s="5"/>
    </row>
    <row r="73" spans="1:1">
      <c r="A73" s="5"/>
    </row>
    <row r="74" spans="1:1">
      <c r="A74" s="5"/>
    </row>
    <row r="75" spans="1:1">
      <c r="A75" s="5"/>
    </row>
    <row r="76" spans="1:1">
      <c r="A76" s="5"/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  <row r="84" spans="1:1">
      <c r="A84" s="5"/>
    </row>
    <row r="85" spans="1:1">
      <c r="A85" s="5"/>
    </row>
    <row r="86" spans="1:1">
      <c r="A86" s="5"/>
    </row>
    <row r="87" spans="1:1">
      <c r="A87" s="5"/>
    </row>
    <row r="88" spans="1:1">
      <c r="A88" s="5"/>
    </row>
    <row r="89" spans="1:1">
      <c r="A89" s="5"/>
    </row>
    <row r="90" spans="1:1">
      <c r="A90" s="5"/>
    </row>
    <row r="91" spans="1:1">
      <c r="A91" s="5"/>
    </row>
    <row r="92" spans="1:1">
      <c r="A92" s="5"/>
    </row>
    <row r="93" spans="1:1">
      <c r="A93" s="5"/>
    </row>
    <row r="94" spans="1:1">
      <c r="A94" s="5"/>
    </row>
    <row r="95" spans="1:1">
      <c r="A95" s="5"/>
    </row>
    <row r="96" spans="1:1">
      <c r="A96" s="5"/>
    </row>
    <row r="97" spans="1:1">
      <c r="A97" s="5"/>
    </row>
    <row r="98" spans="1:1">
      <c r="A98" s="5"/>
    </row>
    <row r="99" spans="1:1">
      <c r="A99" s="5"/>
    </row>
    <row r="100" spans="1:1">
      <c r="A100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2016-04-15T19:20:52Z</dcterms:modified>
</cp:coreProperties>
</file>