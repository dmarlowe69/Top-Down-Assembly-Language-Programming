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AT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BB5" l="1"/>
  <c r="BB7"/>
  <c r="BB9"/>
  <c r="BB11"/>
  <c r="BB13"/>
  <c r="BB15"/>
  <c r="BB17"/>
  <c r="BB19"/>
  <c r="BB21"/>
  <c r="BB23"/>
  <c r="BB25"/>
  <c r="BB27"/>
  <c r="BB29"/>
  <c r="BB31"/>
  <c r="BB33"/>
  <c r="BB35"/>
  <c r="BB37"/>
  <c r="BB39"/>
  <c r="BB41"/>
  <c r="BB43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BJ20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K7"/>
  <c r="BO7" s="1"/>
  <c r="BQ7" s="1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K11"/>
  <c r="BO11" s="1"/>
  <c r="BQ11" s="1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K15"/>
  <c r="BO15" s="1"/>
  <c r="BQ15" s="1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K19"/>
  <c r="BO19" s="1"/>
  <c r="BQ19" s="1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K23"/>
  <c r="BO23" s="1"/>
  <c r="BQ23" s="1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K27"/>
  <c r="BO27" s="1"/>
  <c r="BQ27" s="1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K31"/>
  <c r="BO31" s="1"/>
  <c r="BQ31" s="1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K35"/>
  <c r="BO35" s="1"/>
  <c r="BQ35" s="1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K39"/>
  <c r="BO39" s="1"/>
  <c r="BQ39" s="1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K43"/>
  <c r="BO43" s="1"/>
  <c r="BQ43" s="1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B40"/>
  <c r="BB38"/>
  <c r="BB36"/>
  <c r="BB34"/>
  <c r="BB32"/>
  <c r="BB30"/>
  <c r="BB28"/>
  <c r="BB26"/>
  <c r="BB24"/>
  <c r="BB22"/>
  <c r="BB20"/>
  <c r="BB18"/>
  <c r="BB16"/>
  <c r="BB14"/>
  <c r="BB12"/>
  <c r="BB10"/>
  <c r="BB8"/>
  <c r="BB6"/>
  <c r="BB4"/>
  <c r="BB3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2"/>
  <c r="BO42" s="1"/>
  <c r="BQ42" s="1"/>
  <c r="BK40"/>
  <c r="BO40" s="1"/>
  <c r="BQ40" s="1"/>
  <c r="BK38"/>
  <c r="BO38" s="1"/>
  <c r="BQ38" s="1"/>
  <c r="BK36"/>
  <c r="BO36" s="1"/>
  <c r="BQ36" s="1"/>
  <c r="BK34"/>
  <c r="BO34" s="1"/>
  <c r="BQ34" s="1"/>
  <c r="BK32"/>
  <c r="BO32" s="1"/>
  <c r="BQ32" s="1"/>
  <c r="BK30"/>
  <c r="BO30" s="1"/>
  <c r="BQ30" s="1"/>
  <c r="BK28"/>
  <c r="BO28" s="1"/>
  <c r="BQ28" s="1"/>
  <c r="BK26"/>
  <c r="BO26" s="1"/>
  <c r="BQ26" s="1"/>
  <c r="BK24"/>
  <c r="BO24" s="1"/>
  <c r="BQ24" s="1"/>
  <c r="BK22"/>
  <c r="BO22" s="1"/>
  <c r="BQ22" s="1"/>
  <c r="BK20"/>
  <c r="BO20" s="1"/>
  <c r="BQ20" s="1"/>
  <c r="BK18"/>
  <c r="BO18" s="1"/>
  <c r="BQ18" s="1"/>
  <c r="BK16"/>
  <c r="BO16" s="1"/>
  <c r="BQ16" s="1"/>
  <c r="BK14"/>
  <c r="BO14" s="1"/>
  <c r="BQ14" s="1"/>
  <c r="BK12"/>
  <c r="BO12" s="1"/>
  <c r="BQ12" s="1"/>
  <c r="BK10"/>
  <c r="BO10" s="1"/>
  <c r="BQ10" s="1"/>
  <c r="BK8"/>
  <c r="BO8" s="1"/>
  <c r="BQ8" s="1"/>
  <c r="BK6"/>
  <c r="BO6" s="1"/>
  <c r="BQ6" s="1"/>
  <c r="BK4"/>
  <c r="BO4" s="1"/>
  <c r="BQ4" s="1"/>
  <c r="BK3"/>
  <c r="BO3" s="1"/>
  <c r="BQ3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/>
  <c r="BQ1" s="1"/>
</calcChain>
</file>

<file path=xl/sharedStrings.xml><?xml version="1.0" encoding="utf-8"?>
<sst xmlns="http://schemas.openxmlformats.org/spreadsheetml/2006/main" count="553" uniqueCount="156">
  <si>
    <t>7F</t>
  </si>
  <si>
    <t>4C</t>
  </si>
  <si>
    <t>4F</t>
  </si>
  <si>
    <t>4A</t>
  </si>
  <si>
    <t>FF</t>
  </si>
  <si>
    <t>0A</t>
  </si>
  <si>
    <t>A3</t>
  </si>
  <si>
    <t>A9</t>
  </si>
  <si>
    <t>5E</t>
  </si>
  <si>
    <t>9D</t>
  </si>
  <si>
    <t>9A</t>
  </si>
  <si>
    <t>2E</t>
  </si>
  <si>
    <t>0C</t>
  </si>
  <si>
    <t>1A</t>
  </si>
  <si>
    <t>DATA</t>
  </si>
  <si>
    <t>3E00</t>
  </si>
  <si>
    <t>0F</t>
  </si>
  <si>
    <t>3E</t>
  </si>
  <si>
    <t>C8</t>
  </si>
  <si>
    <t>F6</t>
  </si>
  <si>
    <t>3E10</t>
  </si>
  <si>
    <t>E4</t>
  </si>
  <si>
    <t>0D</t>
  </si>
  <si>
    <t>3E20</t>
  </si>
  <si>
    <t>3E30</t>
  </si>
  <si>
    <t>E3</t>
  </si>
  <si>
    <t>C4</t>
  </si>
  <si>
    <t>2B</t>
  </si>
  <si>
    <t>AE</t>
  </si>
  <si>
    <t>3E40</t>
  </si>
  <si>
    <t>A0</t>
  </si>
  <si>
    <t>3E50</t>
  </si>
  <si>
    <t>D3</t>
  </si>
  <si>
    <t>3E60</t>
  </si>
  <si>
    <t>AD</t>
  </si>
  <si>
    <t>AA</t>
  </si>
  <si>
    <t>CA</t>
  </si>
  <si>
    <t>FA</t>
  </si>
  <si>
    <t>3E70</t>
  </si>
  <si>
    <t>8D</t>
  </si>
  <si>
    <t>9B</t>
  </si>
  <si>
    <t>CE</t>
  </si>
  <si>
    <t>3E80</t>
  </si>
  <si>
    <t>EF</t>
  </si>
  <si>
    <t>E9</t>
  </si>
  <si>
    <t>3E90</t>
  </si>
  <si>
    <t>C9</t>
  </si>
  <si>
    <t>D0</t>
  </si>
  <si>
    <t>3EA0</t>
  </si>
  <si>
    <t>3EB0</t>
  </si>
  <si>
    <t>3EC0</t>
  </si>
  <si>
    <t>E0</t>
  </si>
  <si>
    <t>CD</t>
  </si>
  <si>
    <t>C6</t>
  </si>
  <si>
    <t>3ED0</t>
  </si>
  <si>
    <t>C7</t>
  </si>
  <si>
    <t>3EE0</t>
  </si>
  <si>
    <t>E7</t>
  </si>
  <si>
    <t>C1</t>
  </si>
  <si>
    <t>0B</t>
  </si>
  <si>
    <t>3EF0</t>
  </si>
  <si>
    <t>C2</t>
  </si>
  <si>
    <t>3F</t>
  </si>
  <si>
    <t>3F00</t>
  </si>
  <si>
    <t>C3</t>
  </si>
  <si>
    <t>C5</t>
  </si>
  <si>
    <t>DD</t>
  </si>
  <si>
    <t>3F10</t>
  </si>
  <si>
    <t>C0</t>
  </si>
  <si>
    <t>3F20</t>
  </si>
  <si>
    <t>B4</t>
  </si>
  <si>
    <t>F0</t>
  </si>
  <si>
    <t>2D</t>
  </si>
  <si>
    <t>3F30</t>
  </si>
  <si>
    <t>7D</t>
  </si>
  <si>
    <t>3F40</t>
  </si>
  <si>
    <t>3F50</t>
  </si>
  <si>
    <t>E2</t>
  </si>
  <si>
    <t>D6</t>
  </si>
  <si>
    <t>3F60</t>
  </si>
  <si>
    <t>3F70</t>
  </si>
  <si>
    <t>3F80</t>
  </si>
  <si>
    <t>3F90</t>
  </si>
  <si>
    <t>B0</t>
  </si>
  <si>
    <t>3FA0</t>
  </si>
  <si>
    <t>3FB0</t>
  </si>
  <si>
    <t>3FC0</t>
  </si>
  <si>
    <t>3FD0</t>
  </si>
  <si>
    <t>3FE0</t>
  </si>
  <si>
    <t>3FF0</t>
  </si>
  <si>
    <t>F1</t>
  </si>
  <si>
    <t>1D</t>
  </si>
  <si>
    <t>1900 DATA 15872,0,0,32,15,62,32,55,62,16130</t>
  </si>
  <si>
    <t>1902 DATA 15888,8,52,32,228,52,127,13,10,16410</t>
  </si>
  <si>
    <t>1904 DATA 15904,69,68,73,84,32,66,85,70,16451</t>
  </si>
  <si>
    <t>1906 DATA 15920,32,227,53,32,154,55,96,32,16601</t>
  </si>
  <si>
    <t>1908 DATA 15936,160,3,32,19,49,32,43,49,16323</t>
  </si>
  <si>
    <t>1910 DATA 15952,62,32,211,49,32,118,49,32,16537</t>
  </si>
  <si>
    <t>1912 DATA 15968,53,173,3,48,74,170,202,32,16723</t>
  </si>
  <si>
    <t>1914 DATA 15984,141,0,62,32,149,50,32,155,16605</t>
  </si>
  <si>
    <t>1916 DATA 16000,0,62,16,239,32,43,53,96,16541</t>
  </si>
  <si>
    <t>1918 DATA 16016,49,173,1,62,201,1,208,5,16716</t>
  </si>
  <si>
    <t>1920 DATA 16032,155,49,169,2,32,129,49,173,16790</t>
  </si>
  <si>
    <t>1922 DATA 16048,129,49,173,6,50,32,163,49,16699</t>
  </si>
  <si>
    <t>1924 DATA 16064,147,148,29,157,16,20,81,0,16662</t>
  </si>
  <si>
    <t>1926 DATA 16080,72,32,224,50,205,198,62,208,17131</t>
  </si>
  <si>
    <t>1928 DATA 16096,104,32,231,62,173,199,62,205,17164</t>
  </si>
  <si>
    <t>1930 DATA 16112,5,169,1,141,1,62,96,205,16792</t>
  </si>
  <si>
    <t>1932 DATA 16128,205,195,62,208,4,32,135,63,17032</t>
  </si>
  <si>
    <t>1934 DATA 16144,63,96,205,196,62,208,4,32,17010</t>
  </si>
  <si>
    <t>1936 DATA 16160,32,180,63,96,174,1,62,240,17008</t>
  </si>
  <si>
    <t>1938 DATA 16176,32,125,55,96,72,32,18,53,16659</t>
  </si>
  <si>
    <t>1940 DATA 16192,173,85,53,72,173,84,53,72,16957</t>
  </si>
  <si>
    <t>1942 DATA 16208,32,226,56,173,84,53,208,3,17043</t>
  </si>
  <si>
    <t>1944 DATA 16224,55,104,141,84,53,104,141,85,16991</t>
  </si>
  <si>
    <t>1946 DATA 16240,53,32,43,53,104,32,45,63,16665</t>
  </si>
  <si>
    <t>1948 DATA 16256,32,125,55,96,169,255,96,56,17140</t>
  </si>
  <si>
    <t>1950 DATA 16272,208,16,173,82,53,205,5,50,17064</t>
  </si>
  <si>
    <t>1952 DATA 16288,0,96,173,82,53,141,5,50,16888</t>
  </si>
  <si>
    <t>1954 DATA 16304,96,169,255,96,32,154,55,169,17330</t>
  </si>
  <si>
    <t>1956 DATA 16320,246,32,154,55,96,32,154,55,17144</t>
  </si>
  <si>
    <t>1958 DATA 16336,240,8,32,64,52,32,125,55,16944</t>
  </si>
  <si>
    <t>1960 DATA 16352,173,83,53,72,173,82,53,72,17113</t>
  </si>
  <si>
    <t>1962 DATA 16368,54,32,214,55,104,141,82,53,17103</t>
  </si>
  <si>
    <t>1901 DATA 15880,32,200,62,24,24,144,246,32,16644</t>
  </si>
  <si>
    <t>1903 DATA 15896,10,83,69,84,32,85,80,32,16371</t>
  </si>
  <si>
    <t>1905 DATA 15912,70,69,82,46,13,10,10,255,16467</t>
  </si>
  <si>
    <t>1907 DATA 15928,196,49,32,43,49,174,3,48,16522</t>
  </si>
  <si>
    <t>1909 DATA 15944,32,118,49,32,196,49,32,94,16546</t>
  </si>
  <si>
    <t>1911 DATA 15960,136,62,32,211,49,96,32,18,16596</t>
  </si>
  <si>
    <t>1913 DATA 15976,26,51,202,16,250,173,3,48,16745</t>
  </si>
  <si>
    <t>1915 DATA 15992,49,32,127,49,32,13,51,206,16551</t>
  </si>
  <si>
    <t>1917 DATA 16008,173,3,48,74,233,2,32,129,16702</t>
  </si>
  <si>
    <t>1919 DATA 16024,169,73,24,144,2,169,79,32,16716</t>
  </si>
  <si>
    <t>1921 DATA 16040,7,48,32,155,49,169,2,32,16534</t>
  </si>
  <si>
    <t>1923 DATA 16056,173,5,50,32,163,49,96,0,16624</t>
  </si>
  <si>
    <t>1925 DATA 16072,32,224,50,205,198,62,208,23,17074</t>
  </si>
  <si>
    <t>1927 DATA 16088,4,104,104,104,96,141,199,62,16902</t>
  </si>
  <si>
    <t>1929 DATA 16104,193,62,208,11,206,1,62,16,16863</t>
  </si>
  <si>
    <t>1931 DATA 16120,194,62,208,4,32,121,63,96,16900</t>
  </si>
  <si>
    <t>1933 DATA 16136,96,205,197,62,208,4,32,221,17161</t>
  </si>
  <si>
    <t>1935 DATA 16152,197,63,96,205,192,62,208,4,17179</t>
  </si>
  <si>
    <t>1937 DATA 16168,4,32,52,63,96,32,45,51,16543</t>
  </si>
  <si>
    <t>1939 DATA 16184,173,83,53,72,173,82,53,72,16945</t>
  </si>
  <si>
    <t>1941 DATA 16200,32,97,54,32,125,55,48,17,16660</t>
  </si>
  <si>
    <t>1943 DATA 16216,206,85,53,206,84,53,32,214,17149</t>
  </si>
  <si>
    <t>1945 DATA 16232,53,104,141,82,53,104,141,83,16993</t>
  </si>
  <si>
    <t>1947 DATA 16248,96,32,149,50,201,255,240,4,17275</t>
  </si>
  <si>
    <t>1949 DATA 16264,173,83,53,205,6,50,144,12,16990</t>
  </si>
  <si>
    <t>1951 DATA 16280,240,23,176,6,32,26,51,169,17003</t>
  </si>
  <si>
    <t>1953 DATA 16296,173,83,53,141,6,50,169,0,16971</t>
  </si>
  <si>
    <t>1955 DATA 16312,255,32,45,51,32,125,55,16,16923</t>
  </si>
  <si>
    <t>1957 DATA 16328,32,20,52,32,149,50,201,255,17119</t>
  </si>
  <si>
    <t>1959 DATA 16344,16,241,76,26,52,32,18,53,16858</t>
  </si>
  <si>
    <t>1961 DATA 16360,32,226,56,32,125,55,32,97,17015</t>
  </si>
  <si>
    <t>1963 DATA 16376,104,141,83,53,32,43,53,96,16981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</si>
</sst>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topLeftCell="BA1" workbookViewId="0">
      <selection activeCell="BT1" sqref="BT1:BT100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15</v>
      </c>
      <c r="B1" s="3">
        <v>0</v>
      </c>
      <c r="C1" s="3">
        <v>0</v>
      </c>
      <c r="D1" s="3">
        <v>20</v>
      </c>
      <c r="E1" s="3" t="s">
        <v>16</v>
      </c>
      <c r="F1" s="3" t="s">
        <v>17</v>
      </c>
      <c r="G1" s="3">
        <v>20</v>
      </c>
      <c r="H1" s="3">
        <v>37</v>
      </c>
      <c r="I1" s="3" t="s">
        <v>17</v>
      </c>
      <c r="J1" s="3">
        <v>20</v>
      </c>
      <c r="K1" s="3" t="s">
        <v>18</v>
      </c>
      <c r="L1" s="3" t="s">
        <v>17</v>
      </c>
      <c r="M1" s="3">
        <v>18</v>
      </c>
      <c r="N1" s="3">
        <v>18</v>
      </c>
      <c r="O1" s="3">
        <v>90</v>
      </c>
      <c r="P1" s="3" t="s">
        <v>19</v>
      </c>
      <c r="Q1" s="3">
        <v>20</v>
      </c>
      <c r="S1" s="10">
        <f>HEX2DEC(A1)</f>
        <v>15872</v>
      </c>
      <c r="T1" s="13">
        <f t="shared" ref="T1:T43" si="0">HEX2DEC(B1)</f>
        <v>0</v>
      </c>
      <c r="U1" s="14">
        <f t="shared" ref="U1:U43" si="1">HEX2DEC(C1)</f>
        <v>0</v>
      </c>
      <c r="V1" s="14">
        <f t="shared" ref="V1:V43" si="2">HEX2DEC(D1)</f>
        <v>32</v>
      </c>
      <c r="W1" s="14">
        <f t="shared" ref="W1:W43" si="3">HEX2DEC(E1)</f>
        <v>15</v>
      </c>
      <c r="X1" s="14">
        <f t="shared" ref="X1:X43" si="4">HEX2DEC(F1)</f>
        <v>62</v>
      </c>
      <c r="Y1" s="14">
        <f t="shared" ref="Y1:Y43" si="5">HEX2DEC(G1)</f>
        <v>32</v>
      </c>
      <c r="Z1" s="14">
        <f t="shared" ref="Z1:Z43" si="6">HEX2DEC(H1)</f>
        <v>55</v>
      </c>
      <c r="AA1" s="15">
        <f t="shared" ref="AA1:AA43" si="7">HEX2DEC(I1)</f>
        <v>62</v>
      </c>
      <c r="AB1" s="22">
        <f t="shared" ref="AB1:AB43" si="8">HEX2DEC(J1)</f>
        <v>32</v>
      </c>
      <c r="AC1" s="23">
        <f t="shared" ref="AC1:AC43" si="9">HEX2DEC(K1)</f>
        <v>200</v>
      </c>
      <c r="AD1" s="23">
        <f t="shared" ref="AD1:AD43" si="10">HEX2DEC(L1)</f>
        <v>62</v>
      </c>
      <c r="AE1" s="23">
        <f t="shared" ref="AE1:AE43" si="11">HEX2DEC(M1)</f>
        <v>24</v>
      </c>
      <c r="AF1" s="23">
        <f t="shared" ref="AF1:AF43" si="12">HEX2DEC(N1)</f>
        <v>24</v>
      </c>
      <c r="AG1" s="23">
        <f t="shared" ref="AG1:AG43" si="13">HEX2DEC(O1)</f>
        <v>144</v>
      </c>
      <c r="AH1" s="23">
        <f t="shared" ref="AH1:AH43" si="14">HEX2DEC(P1)</f>
        <v>246</v>
      </c>
      <c r="AI1" s="24">
        <f t="shared" ref="AI1:AI43" si="15">HEX2DEC(Q1)</f>
        <v>32</v>
      </c>
      <c r="AJ1" s="31"/>
      <c r="AK1" s="33">
        <f t="shared" ref="AK1:AS1" si="16">S1</f>
        <v>15872</v>
      </c>
      <c r="AL1" s="17">
        <f t="shared" si="16"/>
        <v>0</v>
      </c>
      <c r="AM1" s="17">
        <f t="shared" si="16"/>
        <v>0</v>
      </c>
      <c r="AN1" s="17">
        <f t="shared" si="16"/>
        <v>32</v>
      </c>
      <c r="AO1" s="17">
        <f t="shared" si="16"/>
        <v>15</v>
      </c>
      <c r="AP1" s="17">
        <f t="shared" si="16"/>
        <v>62</v>
      </c>
      <c r="AQ1" s="17">
        <f t="shared" si="16"/>
        <v>32</v>
      </c>
      <c r="AR1" s="17">
        <f t="shared" si="16"/>
        <v>55</v>
      </c>
      <c r="AS1" s="17">
        <f t="shared" si="16"/>
        <v>62</v>
      </c>
      <c r="AT1" s="34">
        <f>SUM(AK1:AS1)</f>
        <v>16130</v>
      </c>
      <c r="AU1" s="31"/>
      <c r="AV1">
        <v>1900</v>
      </c>
      <c r="AW1" t="s">
        <v>14</v>
      </c>
      <c r="AX1" s="8" t="str">
        <f>AK1&amp;","&amp;AL1&amp;","&amp;AM1&amp;","&amp;AN1&amp;","&amp;AO1&amp;","&amp;AP1&amp;","&amp;AQ1&amp;","&amp;AR1&amp;","&amp;AS1&amp;","&amp;AT1</f>
        <v>15872,0,0,32,15,62,32,55,62,16130</v>
      </c>
      <c r="AY1" s="31"/>
      <c r="AZ1" s="9" t="str">
        <f>AV1&amp;" "&amp;AW1&amp;" "&amp;AX1</f>
        <v>1900 DATA 15872,0,0,32,15,62,32,55,62,16130</v>
      </c>
      <c r="BA1" s="31"/>
      <c r="BB1" s="33">
        <f>AK1+8</f>
        <v>15880</v>
      </c>
      <c r="BC1" s="26">
        <f t="shared" ref="BC1:BJ1" si="17">AB1</f>
        <v>32</v>
      </c>
      <c r="BD1" s="26">
        <f t="shared" si="17"/>
        <v>200</v>
      </c>
      <c r="BE1" s="26">
        <f t="shared" si="17"/>
        <v>62</v>
      </c>
      <c r="BF1" s="26">
        <f t="shared" si="17"/>
        <v>24</v>
      </c>
      <c r="BG1" s="26">
        <f t="shared" si="17"/>
        <v>24</v>
      </c>
      <c r="BH1" s="26">
        <f t="shared" si="17"/>
        <v>144</v>
      </c>
      <c r="BI1" s="26">
        <f t="shared" si="17"/>
        <v>246</v>
      </c>
      <c r="BJ1" s="26">
        <f t="shared" si="17"/>
        <v>32</v>
      </c>
      <c r="BK1" s="34">
        <f>SUM(BB1:BJ1)</f>
        <v>16644</v>
      </c>
      <c r="BL1" s="31"/>
      <c r="BM1">
        <f>AV1+1</f>
        <v>1901</v>
      </c>
      <c r="BN1" t="s">
        <v>14</v>
      </c>
      <c r="BO1" s="8" t="str">
        <f>BB1&amp;","&amp;BC1&amp;","&amp;BD1&amp;","&amp;BE1&amp;","&amp;BF1&amp;","&amp;BG1&amp;","&amp;BH1&amp;","&amp;BI1&amp;","&amp;BJ1&amp;","&amp;BK1</f>
        <v>15880,32,200,62,24,24,144,246,32,16644</v>
      </c>
      <c r="BP1"/>
      <c r="BQ1" s="9" t="str">
        <f>BM1&amp;" "&amp;BN1&amp;" "&amp;BO1</f>
        <v>1901 DATA 15880,32,200,62,24,24,144,246,32,16644</v>
      </c>
      <c r="BR1" s="31"/>
      <c r="BS1" s="31"/>
      <c r="BT1" s="9" t="s">
        <v>92</v>
      </c>
    </row>
    <row r="2" spans="1:72">
      <c r="A2" s="1" t="s">
        <v>20</v>
      </c>
      <c r="B2" s="3">
        <v>8</v>
      </c>
      <c r="C2" s="3">
        <v>34</v>
      </c>
      <c r="D2" s="3">
        <v>20</v>
      </c>
      <c r="E2" s="3" t="s">
        <v>21</v>
      </c>
      <c r="F2" s="3">
        <v>34</v>
      </c>
      <c r="G2" s="3" t="s">
        <v>0</v>
      </c>
      <c r="H2" s="3" t="s">
        <v>22</v>
      </c>
      <c r="I2" s="3" t="s">
        <v>5</v>
      </c>
      <c r="J2" s="3" t="s">
        <v>5</v>
      </c>
      <c r="K2" s="3">
        <v>53</v>
      </c>
      <c r="L2" s="3">
        <v>45</v>
      </c>
      <c r="M2" s="3">
        <v>54</v>
      </c>
      <c r="N2" s="3">
        <v>20</v>
      </c>
      <c r="O2" s="3">
        <v>55</v>
      </c>
      <c r="P2" s="3">
        <v>50</v>
      </c>
      <c r="Q2" s="3">
        <v>20</v>
      </c>
      <c r="S2" s="11">
        <f t="shared" ref="S2:S43" si="18">HEX2DEC(A2)</f>
        <v>15888</v>
      </c>
      <c r="T2" s="16">
        <f t="shared" si="0"/>
        <v>8</v>
      </c>
      <c r="U2" s="17">
        <f t="shared" si="1"/>
        <v>52</v>
      </c>
      <c r="V2" s="17">
        <f t="shared" si="2"/>
        <v>32</v>
      </c>
      <c r="W2" s="17">
        <f t="shared" si="3"/>
        <v>228</v>
      </c>
      <c r="X2" s="17">
        <f t="shared" si="4"/>
        <v>52</v>
      </c>
      <c r="Y2" s="17">
        <f t="shared" si="5"/>
        <v>127</v>
      </c>
      <c r="Z2" s="17">
        <f t="shared" si="6"/>
        <v>13</v>
      </c>
      <c r="AA2" s="18">
        <f t="shared" si="7"/>
        <v>10</v>
      </c>
      <c r="AB2" s="25">
        <f t="shared" si="8"/>
        <v>10</v>
      </c>
      <c r="AC2" s="26">
        <f t="shared" si="9"/>
        <v>83</v>
      </c>
      <c r="AD2" s="26">
        <f t="shared" si="10"/>
        <v>69</v>
      </c>
      <c r="AE2" s="26">
        <f t="shared" si="11"/>
        <v>84</v>
      </c>
      <c r="AF2" s="26">
        <f t="shared" si="12"/>
        <v>32</v>
      </c>
      <c r="AG2" s="26">
        <f t="shared" si="13"/>
        <v>85</v>
      </c>
      <c r="AH2" s="26">
        <f t="shared" si="14"/>
        <v>80</v>
      </c>
      <c r="AI2" s="27">
        <f t="shared" si="15"/>
        <v>32</v>
      </c>
      <c r="AJ2" s="31"/>
      <c r="AK2" s="33">
        <f t="shared" ref="AK2:AK65" si="19">S2</f>
        <v>15888</v>
      </c>
      <c r="AL2" s="17">
        <f t="shared" ref="AL2:AL65" si="20">T2</f>
        <v>8</v>
      </c>
      <c r="AM2" s="17">
        <f t="shared" ref="AM2:AM65" si="21">U2</f>
        <v>52</v>
      </c>
      <c r="AN2" s="17">
        <f t="shared" ref="AN2:AN65" si="22">V2</f>
        <v>32</v>
      </c>
      <c r="AO2" s="17">
        <f t="shared" ref="AO2:AO65" si="23">W2</f>
        <v>228</v>
      </c>
      <c r="AP2" s="17">
        <f t="shared" ref="AP2:AP65" si="24">X2</f>
        <v>52</v>
      </c>
      <c r="AQ2" s="17">
        <f t="shared" ref="AQ2:AQ65" si="25">Y2</f>
        <v>127</v>
      </c>
      <c r="AR2" s="17">
        <f t="shared" ref="AR2:AR65" si="26">Z2</f>
        <v>13</v>
      </c>
      <c r="AS2" s="17">
        <f t="shared" ref="AS2:AS65" si="27">AA2</f>
        <v>10</v>
      </c>
      <c r="AT2" s="34">
        <f t="shared" ref="AT2:AT65" si="28">SUM(AK2:AS2)</f>
        <v>16410</v>
      </c>
      <c r="AU2" s="31"/>
      <c r="AV2">
        <f>AV1+2</f>
        <v>1902</v>
      </c>
      <c r="AW2" t="s">
        <v>14</v>
      </c>
      <c r="AX2" s="8" t="str">
        <f t="shared" ref="AX2:AX65" si="29">AK2&amp;","&amp;AL2&amp;","&amp;AM2&amp;","&amp;AN2&amp;","&amp;AO2&amp;","&amp;AP2&amp;","&amp;AQ2&amp;","&amp;AR2&amp;","&amp;AS2&amp;","&amp;AT2</f>
        <v>15888,8,52,32,228,52,127,13,10,16410</v>
      </c>
      <c r="AY2" s="31"/>
      <c r="AZ2" s="9" t="str">
        <f t="shared" ref="AZ2:AZ65" si="30">AV2&amp;" "&amp;AW2&amp;" "&amp;AX2</f>
        <v>1902 DATA 15888,8,52,32,228,52,127,13,10,16410</v>
      </c>
      <c r="BA2" s="31"/>
      <c r="BB2" s="33">
        <f t="shared" ref="BB2:BB65" si="31">AK2+8</f>
        <v>15896</v>
      </c>
      <c r="BC2" s="26">
        <f t="shared" ref="BC2:BC65" si="32">AB2</f>
        <v>10</v>
      </c>
      <c r="BD2" s="26">
        <f t="shared" ref="BD2:BD65" si="33">AC2</f>
        <v>83</v>
      </c>
      <c r="BE2" s="26">
        <f t="shared" ref="BE2:BE65" si="34">AD2</f>
        <v>69</v>
      </c>
      <c r="BF2" s="26">
        <f t="shared" ref="BF2:BF65" si="35">AE2</f>
        <v>84</v>
      </c>
      <c r="BG2" s="26">
        <f t="shared" ref="BG2:BG65" si="36">AF2</f>
        <v>32</v>
      </c>
      <c r="BH2" s="26">
        <f t="shared" ref="BH2:BH65" si="37">AG2</f>
        <v>85</v>
      </c>
      <c r="BI2" s="26">
        <f t="shared" ref="BI2:BI65" si="38">AH2</f>
        <v>80</v>
      </c>
      <c r="BJ2" s="26">
        <f t="shared" ref="BJ2:BJ65" si="39">AI2</f>
        <v>32</v>
      </c>
      <c r="BK2" s="34">
        <f t="shared" ref="BK2:BK65" si="40">SUM(BB2:BJ2)</f>
        <v>16371</v>
      </c>
      <c r="BL2" s="31"/>
      <c r="BM2">
        <f>BM1+2</f>
        <v>1903</v>
      </c>
      <c r="BN2" t="s">
        <v>14</v>
      </c>
      <c r="BO2" s="8" t="str">
        <f t="shared" ref="BO2:BO65" si="41">BB2&amp;","&amp;BC2&amp;","&amp;BD2&amp;","&amp;BE2&amp;","&amp;BF2&amp;","&amp;BG2&amp;","&amp;BH2&amp;","&amp;BI2&amp;","&amp;BJ2&amp;","&amp;BK2</f>
        <v>15896,10,83,69,84,32,85,80,32,16371</v>
      </c>
      <c r="BP2"/>
      <c r="BQ2" s="9" t="str">
        <f t="shared" ref="BQ2:BQ65" si="42">BM2&amp;" "&amp;BN2&amp;" "&amp;BO2</f>
        <v>1903 DATA 15896,10,83,69,84,32,85,80,32,16371</v>
      </c>
      <c r="BR2" s="31"/>
      <c r="BS2" s="31"/>
      <c r="BT2" s="9" t="s">
        <v>93</v>
      </c>
    </row>
    <row r="3" spans="1:72">
      <c r="A3" s="1" t="s">
        <v>23</v>
      </c>
      <c r="B3" s="3">
        <v>45</v>
      </c>
      <c r="C3" s="3">
        <v>44</v>
      </c>
      <c r="D3" s="3">
        <v>49</v>
      </c>
      <c r="E3" s="3">
        <v>54</v>
      </c>
      <c r="F3" s="3">
        <v>20</v>
      </c>
      <c r="G3" s="3">
        <v>42</v>
      </c>
      <c r="H3" s="3">
        <v>55</v>
      </c>
      <c r="I3" s="3">
        <v>46</v>
      </c>
      <c r="J3" s="3">
        <v>46</v>
      </c>
      <c r="K3" s="3">
        <v>45</v>
      </c>
      <c r="L3" s="3">
        <v>52</v>
      </c>
      <c r="M3" s="3" t="s">
        <v>11</v>
      </c>
      <c r="N3" s="3" t="s">
        <v>22</v>
      </c>
      <c r="O3" s="3" t="s">
        <v>5</v>
      </c>
      <c r="P3" s="3" t="s">
        <v>5</v>
      </c>
      <c r="Q3" s="3" t="s">
        <v>4</v>
      </c>
      <c r="S3" s="11">
        <f t="shared" si="18"/>
        <v>15904</v>
      </c>
      <c r="T3" s="16">
        <f t="shared" si="0"/>
        <v>69</v>
      </c>
      <c r="U3" s="17">
        <f t="shared" si="1"/>
        <v>68</v>
      </c>
      <c r="V3" s="17">
        <f t="shared" si="2"/>
        <v>73</v>
      </c>
      <c r="W3" s="17">
        <f t="shared" si="3"/>
        <v>84</v>
      </c>
      <c r="X3" s="17">
        <f t="shared" si="4"/>
        <v>32</v>
      </c>
      <c r="Y3" s="17">
        <f t="shared" si="5"/>
        <v>66</v>
      </c>
      <c r="Z3" s="17">
        <f t="shared" si="6"/>
        <v>85</v>
      </c>
      <c r="AA3" s="18">
        <f t="shared" si="7"/>
        <v>70</v>
      </c>
      <c r="AB3" s="25">
        <f t="shared" si="8"/>
        <v>70</v>
      </c>
      <c r="AC3" s="26">
        <f t="shared" si="9"/>
        <v>69</v>
      </c>
      <c r="AD3" s="26">
        <f t="shared" si="10"/>
        <v>82</v>
      </c>
      <c r="AE3" s="26">
        <f t="shared" si="11"/>
        <v>46</v>
      </c>
      <c r="AF3" s="26">
        <f t="shared" si="12"/>
        <v>13</v>
      </c>
      <c r="AG3" s="26">
        <f t="shared" si="13"/>
        <v>10</v>
      </c>
      <c r="AH3" s="26">
        <f t="shared" si="14"/>
        <v>10</v>
      </c>
      <c r="AI3" s="27">
        <f t="shared" si="15"/>
        <v>255</v>
      </c>
      <c r="AJ3" s="31"/>
      <c r="AK3" s="33">
        <f t="shared" si="19"/>
        <v>15904</v>
      </c>
      <c r="AL3" s="17">
        <f t="shared" si="20"/>
        <v>69</v>
      </c>
      <c r="AM3" s="17">
        <f t="shared" si="21"/>
        <v>68</v>
      </c>
      <c r="AN3" s="17">
        <f t="shared" si="22"/>
        <v>73</v>
      </c>
      <c r="AO3" s="17">
        <f t="shared" si="23"/>
        <v>84</v>
      </c>
      <c r="AP3" s="17">
        <f t="shared" si="24"/>
        <v>32</v>
      </c>
      <c r="AQ3" s="17">
        <f t="shared" si="25"/>
        <v>66</v>
      </c>
      <c r="AR3" s="17">
        <f t="shared" si="26"/>
        <v>85</v>
      </c>
      <c r="AS3" s="17">
        <f t="shared" si="27"/>
        <v>70</v>
      </c>
      <c r="AT3" s="34">
        <f t="shared" si="28"/>
        <v>16451</v>
      </c>
      <c r="AU3" s="31"/>
      <c r="AV3">
        <f t="shared" ref="AV3:AV66" si="43">AV2+2</f>
        <v>1904</v>
      </c>
      <c r="AW3" t="s">
        <v>14</v>
      </c>
      <c r="AX3" s="8" t="str">
        <f t="shared" si="29"/>
        <v>15904,69,68,73,84,32,66,85,70,16451</v>
      </c>
      <c r="AY3" s="31"/>
      <c r="AZ3" s="9" t="str">
        <f t="shared" si="30"/>
        <v>1904 DATA 15904,69,68,73,84,32,66,85,70,16451</v>
      </c>
      <c r="BA3" s="31"/>
      <c r="BB3" s="33">
        <f t="shared" si="31"/>
        <v>15912</v>
      </c>
      <c r="BC3" s="26">
        <f t="shared" si="32"/>
        <v>70</v>
      </c>
      <c r="BD3" s="26">
        <f t="shared" si="33"/>
        <v>69</v>
      </c>
      <c r="BE3" s="26">
        <f t="shared" si="34"/>
        <v>82</v>
      </c>
      <c r="BF3" s="26">
        <f t="shared" si="35"/>
        <v>46</v>
      </c>
      <c r="BG3" s="26">
        <f t="shared" si="36"/>
        <v>13</v>
      </c>
      <c r="BH3" s="26">
        <f t="shared" si="37"/>
        <v>10</v>
      </c>
      <c r="BI3" s="26">
        <f t="shared" si="38"/>
        <v>10</v>
      </c>
      <c r="BJ3" s="26">
        <f t="shared" si="39"/>
        <v>255</v>
      </c>
      <c r="BK3" s="34">
        <f t="shared" si="40"/>
        <v>16467</v>
      </c>
      <c r="BL3" s="31"/>
      <c r="BM3">
        <f t="shared" ref="BM3:BM66" si="44">BM2+2</f>
        <v>1905</v>
      </c>
      <c r="BN3" t="s">
        <v>14</v>
      </c>
      <c r="BO3" s="8" t="str">
        <f t="shared" si="41"/>
        <v>15912,70,69,82,46,13,10,10,255,16467</v>
      </c>
      <c r="BP3"/>
      <c r="BQ3" s="9" t="str">
        <f t="shared" si="42"/>
        <v>1905 DATA 15912,70,69,82,46,13,10,10,255,16467</v>
      </c>
      <c r="BR3" s="31"/>
      <c r="BS3" s="31"/>
      <c r="BT3" s="9" t="s">
        <v>94</v>
      </c>
    </row>
    <row r="4" spans="1:72">
      <c r="A4" s="1" t="s">
        <v>24</v>
      </c>
      <c r="B4" s="3">
        <v>20</v>
      </c>
      <c r="C4" s="3" t="s">
        <v>25</v>
      </c>
      <c r="D4" s="3">
        <v>35</v>
      </c>
      <c r="E4" s="3">
        <v>20</v>
      </c>
      <c r="F4" s="3" t="s">
        <v>10</v>
      </c>
      <c r="G4" s="3">
        <v>37</v>
      </c>
      <c r="H4" s="3">
        <v>60</v>
      </c>
      <c r="I4" s="3">
        <v>20</v>
      </c>
      <c r="J4" s="3" t="s">
        <v>26</v>
      </c>
      <c r="K4" s="3">
        <v>31</v>
      </c>
      <c r="L4" s="3">
        <v>20</v>
      </c>
      <c r="M4" s="3" t="s">
        <v>27</v>
      </c>
      <c r="N4" s="3">
        <v>31</v>
      </c>
      <c r="O4" s="3" t="s">
        <v>28</v>
      </c>
      <c r="P4" s="3">
        <v>3</v>
      </c>
      <c r="Q4" s="3">
        <v>30</v>
      </c>
      <c r="S4" s="11">
        <f t="shared" si="18"/>
        <v>15920</v>
      </c>
      <c r="T4" s="16">
        <f t="shared" si="0"/>
        <v>32</v>
      </c>
      <c r="U4" s="17">
        <f t="shared" si="1"/>
        <v>227</v>
      </c>
      <c r="V4" s="17">
        <f t="shared" si="2"/>
        <v>53</v>
      </c>
      <c r="W4" s="17">
        <f t="shared" si="3"/>
        <v>32</v>
      </c>
      <c r="X4" s="17">
        <f t="shared" si="4"/>
        <v>154</v>
      </c>
      <c r="Y4" s="17">
        <f t="shared" si="5"/>
        <v>55</v>
      </c>
      <c r="Z4" s="17">
        <f t="shared" si="6"/>
        <v>96</v>
      </c>
      <c r="AA4" s="18">
        <f t="shared" si="7"/>
        <v>32</v>
      </c>
      <c r="AB4" s="25">
        <f t="shared" si="8"/>
        <v>196</v>
      </c>
      <c r="AC4" s="26">
        <f t="shared" si="9"/>
        <v>49</v>
      </c>
      <c r="AD4" s="26">
        <f t="shared" si="10"/>
        <v>32</v>
      </c>
      <c r="AE4" s="26">
        <f t="shared" si="11"/>
        <v>43</v>
      </c>
      <c r="AF4" s="26">
        <f t="shared" si="12"/>
        <v>49</v>
      </c>
      <c r="AG4" s="26">
        <f t="shared" si="13"/>
        <v>174</v>
      </c>
      <c r="AH4" s="26">
        <f t="shared" si="14"/>
        <v>3</v>
      </c>
      <c r="AI4" s="27">
        <f t="shared" si="15"/>
        <v>48</v>
      </c>
      <c r="AJ4" s="31"/>
      <c r="AK4" s="33">
        <f t="shared" si="19"/>
        <v>15920</v>
      </c>
      <c r="AL4" s="17">
        <f t="shared" si="20"/>
        <v>32</v>
      </c>
      <c r="AM4" s="17">
        <f t="shared" si="21"/>
        <v>227</v>
      </c>
      <c r="AN4" s="17">
        <f t="shared" si="22"/>
        <v>53</v>
      </c>
      <c r="AO4" s="17">
        <f t="shared" si="23"/>
        <v>32</v>
      </c>
      <c r="AP4" s="17">
        <f t="shared" si="24"/>
        <v>154</v>
      </c>
      <c r="AQ4" s="17">
        <f t="shared" si="25"/>
        <v>55</v>
      </c>
      <c r="AR4" s="17">
        <f t="shared" si="26"/>
        <v>96</v>
      </c>
      <c r="AS4" s="17">
        <f t="shared" si="27"/>
        <v>32</v>
      </c>
      <c r="AT4" s="34">
        <f t="shared" si="28"/>
        <v>16601</v>
      </c>
      <c r="AU4" s="31"/>
      <c r="AV4">
        <f t="shared" si="43"/>
        <v>1906</v>
      </c>
      <c r="AW4" t="s">
        <v>14</v>
      </c>
      <c r="AX4" s="8" t="str">
        <f t="shared" si="29"/>
        <v>15920,32,227,53,32,154,55,96,32,16601</v>
      </c>
      <c r="AY4" s="31"/>
      <c r="AZ4" s="9" t="str">
        <f t="shared" si="30"/>
        <v>1906 DATA 15920,32,227,53,32,154,55,96,32,16601</v>
      </c>
      <c r="BA4" s="31"/>
      <c r="BB4" s="33">
        <f t="shared" si="31"/>
        <v>15928</v>
      </c>
      <c r="BC4" s="26">
        <f t="shared" si="32"/>
        <v>196</v>
      </c>
      <c r="BD4" s="26">
        <f t="shared" si="33"/>
        <v>49</v>
      </c>
      <c r="BE4" s="26">
        <f t="shared" si="34"/>
        <v>32</v>
      </c>
      <c r="BF4" s="26">
        <f t="shared" si="35"/>
        <v>43</v>
      </c>
      <c r="BG4" s="26">
        <f t="shared" si="36"/>
        <v>49</v>
      </c>
      <c r="BH4" s="26">
        <f t="shared" si="37"/>
        <v>174</v>
      </c>
      <c r="BI4" s="26">
        <f t="shared" si="38"/>
        <v>3</v>
      </c>
      <c r="BJ4" s="26">
        <f t="shared" si="39"/>
        <v>48</v>
      </c>
      <c r="BK4" s="34">
        <f t="shared" si="40"/>
        <v>16522</v>
      </c>
      <c r="BL4" s="31"/>
      <c r="BM4">
        <f t="shared" si="44"/>
        <v>1907</v>
      </c>
      <c r="BN4" t="s">
        <v>14</v>
      </c>
      <c r="BO4" s="8" t="str">
        <f t="shared" si="41"/>
        <v>15928,196,49,32,43,49,174,3,48,16522</v>
      </c>
      <c r="BP4"/>
      <c r="BQ4" s="9" t="str">
        <f t="shared" si="42"/>
        <v>1907 DATA 15928,196,49,32,43,49,174,3,48,16522</v>
      </c>
      <c r="BR4" s="31"/>
      <c r="BS4" s="31"/>
      <c r="BT4" s="9" t="s">
        <v>95</v>
      </c>
    </row>
    <row r="5" spans="1:72">
      <c r="A5" s="1" t="s">
        <v>29</v>
      </c>
      <c r="B5" s="3" t="s">
        <v>30</v>
      </c>
      <c r="C5" s="3">
        <v>3</v>
      </c>
      <c r="D5" s="3">
        <v>20</v>
      </c>
      <c r="E5" s="3">
        <v>13</v>
      </c>
      <c r="F5" s="3">
        <v>31</v>
      </c>
      <c r="G5" s="3">
        <v>20</v>
      </c>
      <c r="H5" s="3" t="s">
        <v>27</v>
      </c>
      <c r="I5" s="3">
        <v>31</v>
      </c>
      <c r="J5" s="3">
        <v>20</v>
      </c>
      <c r="K5" s="3">
        <v>76</v>
      </c>
      <c r="L5" s="3">
        <v>31</v>
      </c>
      <c r="M5" s="3">
        <v>20</v>
      </c>
      <c r="N5" s="3" t="s">
        <v>26</v>
      </c>
      <c r="O5" s="3">
        <v>31</v>
      </c>
      <c r="P5" s="3">
        <v>20</v>
      </c>
      <c r="Q5" s="3" t="s">
        <v>8</v>
      </c>
      <c r="S5" s="11">
        <f t="shared" si="18"/>
        <v>15936</v>
      </c>
      <c r="T5" s="16">
        <f t="shared" si="0"/>
        <v>160</v>
      </c>
      <c r="U5" s="17">
        <f t="shared" si="1"/>
        <v>3</v>
      </c>
      <c r="V5" s="17">
        <f t="shared" si="2"/>
        <v>32</v>
      </c>
      <c r="W5" s="17">
        <f t="shared" si="3"/>
        <v>19</v>
      </c>
      <c r="X5" s="17">
        <f t="shared" si="4"/>
        <v>49</v>
      </c>
      <c r="Y5" s="17">
        <f t="shared" si="5"/>
        <v>32</v>
      </c>
      <c r="Z5" s="17">
        <f t="shared" si="6"/>
        <v>43</v>
      </c>
      <c r="AA5" s="18">
        <f t="shared" si="7"/>
        <v>49</v>
      </c>
      <c r="AB5" s="25">
        <f t="shared" si="8"/>
        <v>32</v>
      </c>
      <c r="AC5" s="26">
        <f t="shared" si="9"/>
        <v>118</v>
      </c>
      <c r="AD5" s="26">
        <f t="shared" si="10"/>
        <v>49</v>
      </c>
      <c r="AE5" s="26">
        <f t="shared" si="11"/>
        <v>32</v>
      </c>
      <c r="AF5" s="26">
        <f t="shared" si="12"/>
        <v>196</v>
      </c>
      <c r="AG5" s="26">
        <f t="shared" si="13"/>
        <v>49</v>
      </c>
      <c r="AH5" s="26">
        <f t="shared" si="14"/>
        <v>32</v>
      </c>
      <c r="AI5" s="27">
        <f t="shared" si="15"/>
        <v>94</v>
      </c>
      <c r="AJ5" s="31"/>
      <c r="AK5" s="33">
        <f t="shared" si="19"/>
        <v>15936</v>
      </c>
      <c r="AL5" s="17">
        <f t="shared" si="20"/>
        <v>160</v>
      </c>
      <c r="AM5" s="17">
        <f t="shared" si="21"/>
        <v>3</v>
      </c>
      <c r="AN5" s="17">
        <f t="shared" si="22"/>
        <v>32</v>
      </c>
      <c r="AO5" s="17">
        <f t="shared" si="23"/>
        <v>19</v>
      </c>
      <c r="AP5" s="17">
        <f t="shared" si="24"/>
        <v>49</v>
      </c>
      <c r="AQ5" s="17">
        <f t="shared" si="25"/>
        <v>32</v>
      </c>
      <c r="AR5" s="17">
        <f t="shared" si="26"/>
        <v>43</v>
      </c>
      <c r="AS5" s="17">
        <f t="shared" si="27"/>
        <v>49</v>
      </c>
      <c r="AT5" s="34">
        <f t="shared" si="28"/>
        <v>16323</v>
      </c>
      <c r="AU5" s="31"/>
      <c r="AV5">
        <f t="shared" si="43"/>
        <v>1908</v>
      </c>
      <c r="AW5" t="s">
        <v>14</v>
      </c>
      <c r="AX5" s="8" t="str">
        <f t="shared" si="29"/>
        <v>15936,160,3,32,19,49,32,43,49,16323</v>
      </c>
      <c r="AY5" s="31"/>
      <c r="AZ5" s="9" t="str">
        <f t="shared" si="30"/>
        <v>1908 DATA 15936,160,3,32,19,49,32,43,49,16323</v>
      </c>
      <c r="BA5" s="31"/>
      <c r="BB5" s="33">
        <f t="shared" si="31"/>
        <v>15944</v>
      </c>
      <c r="BC5" s="26">
        <f t="shared" si="32"/>
        <v>32</v>
      </c>
      <c r="BD5" s="26">
        <f t="shared" si="33"/>
        <v>118</v>
      </c>
      <c r="BE5" s="26">
        <f t="shared" si="34"/>
        <v>49</v>
      </c>
      <c r="BF5" s="26">
        <f t="shared" si="35"/>
        <v>32</v>
      </c>
      <c r="BG5" s="26">
        <f t="shared" si="36"/>
        <v>196</v>
      </c>
      <c r="BH5" s="26">
        <f t="shared" si="37"/>
        <v>49</v>
      </c>
      <c r="BI5" s="26">
        <f t="shared" si="38"/>
        <v>32</v>
      </c>
      <c r="BJ5" s="26">
        <f t="shared" si="39"/>
        <v>94</v>
      </c>
      <c r="BK5" s="34">
        <f t="shared" si="40"/>
        <v>16546</v>
      </c>
      <c r="BL5" s="31"/>
      <c r="BM5">
        <f t="shared" si="44"/>
        <v>1909</v>
      </c>
      <c r="BN5" t="s">
        <v>14</v>
      </c>
      <c r="BO5" s="8" t="str">
        <f t="shared" si="41"/>
        <v>15944,32,118,49,32,196,49,32,94,16546</v>
      </c>
      <c r="BP5"/>
      <c r="BQ5" s="9" t="str">
        <f t="shared" si="42"/>
        <v>1909 DATA 15944,32,118,49,32,196,49,32,94,16546</v>
      </c>
      <c r="BR5" s="31"/>
      <c r="BS5" s="31"/>
      <c r="BT5" s="9" t="s">
        <v>96</v>
      </c>
    </row>
    <row r="6" spans="1:72">
      <c r="A6" s="1" t="s">
        <v>31</v>
      </c>
      <c r="B6" s="3" t="s">
        <v>17</v>
      </c>
      <c r="C6" s="3">
        <v>20</v>
      </c>
      <c r="D6" s="3" t="s">
        <v>32</v>
      </c>
      <c r="E6" s="3">
        <v>31</v>
      </c>
      <c r="F6" s="3">
        <v>20</v>
      </c>
      <c r="G6" s="3">
        <v>76</v>
      </c>
      <c r="H6" s="3">
        <v>31</v>
      </c>
      <c r="I6" s="3">
        <v>20</v>
      </c>
      <c r="J6" s="3">
        <v>88</v>
      </c>
      <c r="K6" s="3" t="s">
        <v>17</v>
      </c>
      <c r="L6" s="3">
        <v>20</v>
      </c>
      <c r="M6" s="3" t="s">
        <v>32</v>
      </c>
      <c r="N6" s="3">
        <v>31</v>
      </c>
      <c r="O6" s="3">
        <v>60</v>
      </c>
      <c r="P6" s="3">
        <v>20</v>
      </c>
      <c r="Q6" s="3">
        <v>12</v>
      </c>
      <c r="S6" s="11">
        <f t="shared" si="18"/>
        <v>15952</v>
      </c>
      <c r="T6" s="16">
        <f t="shared" si="0"/>
        <v>62</v>
      </c>
      <c r="U6" s="17">
        <f t="shared" si="1"/>
        <v>32</v>
      </c>
      <c r="V6" s="17">
        <f t="shared" si="2"/>
        <v>211</v>
      </c>
      <c r="W6" s="17">
        <f t="shared" si="3"/>
        <v>49</v>
      </c>
      <c r="X6" s="17">
        <f t="shared" si="4"/>
        <v>32</v>
      </c>
      <c r="Y6" s="17">
        <f t="shared" si="5"/>
        <v>118</v>
      </c>
      <c r="Z6" s="17">
        <f t="shared" si="6"/>
        <v>49</v>
      </c>
      <c r="AA6" s="18">
        <f t="shared" si="7"/>
        <v>32</v>
      </c>
      <c r="AB6" s="25">
        <f t="shared" si="8"/>
        <v>136</v>
      </c>
      <c r="AC6" s="26">
        <f t="shared" si="9"/>
        <v>62</v>
      </c>
      <c r="AD6" s="26">
        <f t="shared" si="10"/>
        <v>32</v>
      </c>
      <c r="AE6" s="26">
        <f t="shared" si="11"/>
        <v>211</v>
      </c>
      <c r="AF6" s="26">
        <f t="shared" si="12"/>
        <v>49</v>
      </c>
      <c r="AG6" s="26">
        <f t="shared" si="13"/>
        <v>96</v>
      </c>
      <c r="AH6" s="26">
        <f t="shared" si="14"/>
        <v>32</v>
      </c>
      <c r="AI6" s="27">
        <f t="shared" si="15"/>
        <v>18</v>
      </c>
      <c r="AJ6" s="31"/>
      <c r="AK6" s="33">
        <f t="shared" si="19"/>
        <v>15952</v>
      </c>
      <c r="AL6" s="17">
        <f t="shared" si="20"/>
        <v>62</v>
      </c>
      <c r="AM6" s="17">
        <f t="shared" si="21"/>
        <v>32</v>
      </c>
      <c r="AN6" s="17">
        <f t="shared" si="22"/>
        <v>211</v>
      </c>
      <c r="AO6" s="17">
        <f t="shared" si="23"/>
        <v>49</v>
      </c>
      <c r="AP6" s="17">
        <f t="shared" si="24"/>
        <v>32</v>
      </c>
      <c r="AQ6" s="17">
        <f t="shared" si="25"/>
        <v>118</v>
      </c>
      <c r="AR6" s="17">
        <f t="shared" si="26"/>
        <v>49</v>
      </c>
      <c r="AS6" s="17">
        <f t="shared" si="27"/>
        <v>32</v>
      </c>
      <c r="AT6" s="34">
        <f t="shared" si="28"/>
        <v>16537</v>
      </c>
      <c r="AU6" s="31"/>
      <c r="AV6">
        <f t="shared" si="43"/>
        <v>1910</v>
      </c>
      <c r="AW6" t="s">
        <v>14</v>
      </c>
      <c r="AX6" s="8" t="str">
        <f t="shared" si="29"/>
        <v>15952,62,32,211,49,32,118,49,32,16537</v>
      </c>
      <c r="AY6" s="31"/>
      <c r="AZ6" s="9" t="str">
        <f t="shared" si="30"/>
        <v>1910 DATA 15952,62,32,211,49,32,118,49,32,16537</v>
      </c>
      <c r="BA6" s="31"/>
      <c r="BB6" s="33">
        <f t="shared" si="31"/>
        <v>15960</v>
      </c>
      <c r="BC6" s="26">
        <f t="shared" si="32"/>
        <v>136</v>
      </c>
      <c r="BD6" s="26">
        <f t="shared" si="33"/>
        <v>62</v>
      </c>
      <c r="BE6" s="26">
        <f t="shared" si="34"/>
        <v>32</v>
      </c>
      <c r="BF6" s="26">
        <f t="shared" si="35"/>
        <v>211</v>
      </c>
      <c r="BG6" s="26">
        <f t="shared" si="36"/>
        <v>49</v>
      </c>
      <c r="BH6" s="26">
        <f t="shared" si="37"/>
        <v>96</v>
      </c>
      <c r="BI6" s="26">
        <f t="shared" si="38"/>
        <v>32</v>
      </c>
      <c r="BJ6" s="26">
        <f t="shared" si="39"/>
        <v>18</v>
      </c>
      <c r="BK6" s="34">
        <f t="shared" si="40"/>
        <v>16596</v>
      </c>
      <c r="BL6" s="31"/>
      <c r="BM6">
        <f t="shared" si="44"/>
        <v>1911</v>
      </c>
      <c r="BN6" t="s">
        <v>14</v>
      </c>
      <c r="BO6" s="8" t="str">
        <f t="shared" si="41"/>
        <v>15960,136,62,32,211,49,96,32,18,16596</v>
      </c>
      <c r="BP6"/>
      <c r="BQ6" s="9" t="str">
        <f t="shared" si="42"/>
        <v>1911 DATA 15960,136,62,32,211,49,96,32,18,16596</v>
      </c>
      <c r="BR6" s="31"/>
      <c r="BS6" s="31"/>
      <c r="BT6" s="9" t="s">
        <v>97</v>
      </c>
    </row>
    <row r="7" spans="1:72">
      <c r="A7" s="1" t="s">
        <v>33</v>
      </c>
      <c r="B7" s="3">
        <v>35</v>
      </c>
      <c r="C7" s="3" t="s">
        <v>34</v>
      </c>
      <c r="D7" s="3">
        <v>3</v>
      </c>
      <c r="E7" s="3">
        <v>30</v>
      </c>
      <c r="F7" s="3" t="s">
        <v>3</v>
      </c>
      <c r="G7" s="3" t="s">
        <v>35</v>
      </c>
      <c r="H7" s="3" t="s">
        <v>36</v>
      </c>
      <c r="I7" s="3">
        <v>20</v>
      </c>
      <c r="J7" s="3" t="s">
        <v>13</v>
      </c>
      <c r="K7" s="3">
        <v>33</v>
      </c>
      <c r="L7" s="3" t="s">
        <v>36</v>
      </c>
      <c r="M7" s="3">
        <v>10</v>
      </c>
      <c r="N7" s="3" t="s">
        <v>37</v>
      </c>
      <c r="O7" s="3" t="s">
        <v>34</v>
      </c>
      <c r="P7" s="3">
        <v>3</v>
      </c>
      <c r="Q7" s="3">
        <v>30</v>
      </c>
      <c r="S7" s="11">
        <f t="shared" si="18"/>
        <v>15968</v>
      </c>
      <c r="T7" s="16">
        <f t="shared" si="0"/>
        <v>53</v>
      </c>
      <c r="U7" s="17">
        <f t="shared" si="1"/>
        <v>173</v>
      </c>
      <c r="V7" s="17">
        <f t="shared" si="2"/>
        <v>3</v>
      </c>
      <c r="W7" s="17">
        <f t="shared" si="3"/>
        <v>48</v>
      </c>
      <c r="X7" s="17">
        <f t="shared" si="4"/>
        <v>74</v>
      </c>
      <c r="Y7" s="17">
        <f t="shared" si="5"/>
        <v>170</v>
      </c>
      <c r="Z7" s="17">
        <f t="shared" si="6"/>
        <v>202</v>
      </c>
      <c r="AA7" s="18">
        <f t="shared" si="7"/>
        <v>32</v>
      </c>
      <c r="AB7" s="25">
        <f t="shared" si="8"/>
        <v>26</v>
      </c>
      <c r="AC7" s="26">
        <f t="shared" si="9"/>
        <v>51</v>
      </c>
      <c r="AD7" s="26">
        <f t="shared" si="10"/>
        <v>202</v>
      </c>
      <c r="AE7" s="26">
        <f t="shared" si="11"/>
        <v>16</v>
      </c>
      <c r="AF7" s="26">
        <f t="shared" si="12"/>
        <v>250</v>
      </c>
      <c r="AG7" s="26">
        <f t="shared" si="13"/>
        <v>173</v>
      </c>
      <c r="AH7" s="26">
        <f t="shared" si="14"/>
        <v>3</v>
      </c>
      <c r="AI7" s="27">
        <f t="shared" si="15"/>
        <v>48</v>
      </c>
      <c r="AJ7" s="31"/>
      <c r="AK7" s="33">
        <f t="shared" si="19"/>
        <v>15968</v>
      </c>
      <c r="AL7" s="17">
        <f t="shared" si="20"/>
        <v>53</v>
      </c>
      <c r="AM7" s="17">
        <f t="shared" si="21"/>
        <v>173</v>
      </c>
      <c r="AN7" s="17">
        <f t="shared" si="22"/>
        <v>3</v>
      </c>
      <c r="AO7" s="17">
        <f t="shared" si="23"/>
        <v>48</v>
      </c>
      <c r="AP7" s="17">
        <f t="shared" si="24"/>
        <v>74</v>
      </c>
      <c r="AQ7" s="17">
        <f t="shared" si="25"/>
        <v>170</v>
      </c>
      <c r="AR7" s="17">
        <f t="shared" si="26"/>
        <v>202</v>
      </c>
      <c r="AS7" s="17">
        <f t="shared" si="27"/>
        <v>32</v>
      </c>
      <c r="AT7" s="34">
        <f t="shared" si="28"/>
        <v>16723</v>
      </c>
      <c r="AU7" s="31"/>
      <c r="AV7">
        <f t="shared" si="43"/>
        <v>1912</v>
      </c>
      <c r="AW7" t="s">
        <v>14</v>
      </c>
      <c r="AX7" s="8" t="str">
        <f t="shared" si="29"/>
        <v>15968,53,173,3,48,74,170,202,32,16723</v>
      </c>
      <c r="AY7" s="31"/>
      <c r="AZ7" s="9" t="str">
        <f t="shared" si="30"/>
        <v>1912 DATA 15968,53,173,3,48,74,170,202,32,16723</v>
      </c>
      <c r="BA7" s="31"/>
      <c r="BB7" s="33">
        <f t="shared" si="31"/>
        <v>15976</v>
      </c>
      <c r="BC7" s="26">
        <f t="shared" si="32"/>
        <v>26</v>
      </c>
      <c r="BD7" s="26">
        <f t="shared" si="33"/>
        <v>51</v>
      </c>
      <c r="BE7" s="26">
        <f t="shared" si="34"/>
        <v>202</v>
      </c>
      <c r="BF7" s="26">
        <f t="shared" si="35"/>
        <v>16</v>
      </c>
      <c r="BG7" s="26">
        <f t="shared" si="36"/>
        <v>250</v>
      </c>
      <c r="BH7" s="26">
        <f t="shared" si="37"/>
        <v>173</v>
      </c>
      <c r="BI7" s="26">
        <f t="shared" si="38"/>
        <v>3</v>
      </c>
      <c r="BJ7" s="26">
        <f t="shared" si="39"/>
        <v>48</v>
      </c>
      <c r="BK7" s="34">
        <f t="shared" si="40"/>
        <v>16745</v>
      </c>
      <c r="BL7" s="31"/>
      <c r="BM7">
        <f t="shared" si="44"/>
        <v>1913</v>
      </c>
      <c r="BN7" t="s">
        <v>14</v>
      </c>
      <c r="BO7" s="8" t="str">
        <f t="shared" si="41"/>
        <v>15976,26,51,202,16,250,173,3,48,16745</v>
      </c>
      <c r="BP7"/>
      <c r="BQ7" s="9" t="str">
        <f t="shared" si="42"/>
        <v>1913 DATA 15976,26,51,202,16,250,173,3,48,16745</v>
      </c>
      <c r="BR7" s="31"/>
      <c r="BS7" s="31"/>
      <c r="BT7" s="9" t="s">
        <v>98</v>
      </c>
    </row>
    <row r="8" spans="1:72">
      <c r="A8" s="1" t="s">
        <v>38</v>
      </c>
      <c r="B8" s="3" t="s">
        <v>39</v>
      </c>
      <c r="C8" s="3">
        <v>0</v>
      </c>
      <c r="D8" s="3" t="s">
        <v>17</v>
      </c>
      <c r="E8" s="3">
        <v>20</v>
      </c>
      <c r="F8" s="3">
        <v>95</v>
      </c>
      <c r="G8" s="3">
        <v>32</v>
      </c>
      <c r="H8" s="3">
        <v>20</v>
      </c>
      <c r="I8" s="3" t="s">
        <v>40</v>
      </c>
      <c r="J8" s="3">
        <v>31</v>
      </c>
      <c r="K8" s="3">
        <v>20</v>
      </c>
      <c r="L8" s="3" t="s">
        <v>0</v>
      </c>
      <c r="M8" s="3">
        <v>31</v>
      </c>
      <c r="N8" s="3">
        <v>20</v>
      </c>
      <c r="O8" s="3" t="s">
        <v>22</v>
      </c>
      <c r="P8" s="3">
        <v>33</v>
      </c>
      <c r="Q8" s="3" t="s">
        <v>41</v>
      </c>
      <c r="S8" s="11">
        <f t="shared" si="18"/>
        <v>15984</v>
      </c>
      <c r="T8" s="16">
        <f t="shared" si="0"/>
        <v>141</v>
      </c>
      <c r="U8" s="17">
        <f t="shared" si="1"/>
        <v>0</v>
      </c>
      <c r="V8" s="17">
        <f t="shared" si="2"/>
        <v>62</v>
      </c>
      <c r="W8" s="17">
        <f t="shared" si="3"/>
        <v>32</v>
      </c>
      <c r="X8" s="17">
        <f t="shared" si="4"/>
        <v>149</v>
      </c>
      <c r="Y8" s="17">
        <f t="shared" si="5"/>
        <v>50</v>
      </c>
      <c r="Z8" s="17">
        <f t="shared" si="6"/>
        <v>32</v>
      </c>
      <c r="AA8" s="18">
        <f t="shared" si="7"/>
        <v>155</v>
      </c>
      <c r="AB8" s="25">
        <f t="shared" si="8"/>
        <v>49</v>
      </c>
      <c r="AC8" s="26">
        <f t="shared" si="9"/>
        <v>32</v>
      </c>
      <c r="AD8" s="26">
        <f t="shared" si="10"/>
        <v>127</v>
      </c>
      <c r="AE8" s="26">
        <f t="shared" si="11"/>
        <v>49</v>
      </c>
      <c r="AF8" s="26">
        <f t="shared" si="12"/>
        <v>32</v>
      </c>
      <c r="AG8" s="26">
        <f t="shared" si="13"/>
        <v>13</v>
      </c>
      <c r="AH8" s="26">
        <f t="shared" si="14"/>
        <v>51</v>
      </c>
      <c r="AI8" s="27">
        <f t="shared" si="15"/>
        <v>206</v>
      </c>
      <c r="AJ8" s="31"/>
      <c r="AK8" s="33">
        <f t="shared" si="19"/>
        <v>15984</v>
      </c>
      <c r="AL8" s="17">
        <f t="shared" si="20"/>
        <v>141</v>
      </c>
      <c r="AM8" s="17">
        <f t="shared" si="21"/>
        <v>0</v>
      </c>
      <c r="AN8" s="17">
        <f t="shared" si="22"/>
        <v>62</v>
      </c>
      <c r="AO8" s="17">
        <f t="shared" si="23"/>
        <v>32</v>
      </c>
      <c r="AP8" s="17">
        <f t="shared" si="24"/>
        <v>149</v>
      </c>
      <c r="AQ8" s="17">
        <f t="shared" si="25"/>
        <v>50</v>
      </c>
      <c r="AR8" s="17">
        <f t="shared" si="26"/>
        <v>32</v>
      </c>
      <c r="AS8" s="17">
        <f t="shared" si="27"/>
        <v>155</v>
      </c>
      <c r="AT8" s="34">
        <f t="shared" si="28"/>
        <v>16605</v>
      </c>
      <c r="AU8" s="31"/>
      <c r="AV8">
        <f t="shared" si="43"/>
        <v>1914</v>
      </c>
      <c r="AW8" t="s">
        <v>14</v>
      </c>
      <c r="AX8" s="8" t="str">
        <f t="shared" si="29"/>
        <v>15984,141,0,62,32,149,50,32,155,16605</v>
      </c>
      <c r="AY8" s="31"/>
      <c r="AZ8" s="9" t="str">
        <f t="shared" si="30"/>
        <v>1914 DATA 15984,141,0,62,32,149,50,32,155,16605</v>
      </c>
      <c r="BA8" s="31"/>
      <c r="BB8" s="33">
        <f t="shared" si="31"/>
        <v>15992</v>
      </c>
      <c r="BC8" s="26">
        <f t="shared" si="32"/>
        <v>49</v>
      </c>
      <c r="BD8" s="26">
        <f t="shared" si="33"/>
        <v>32</v>
      </c>
      <c r="BE8" s="26">
        <f t="shared" si="34"/>
        <v>127</v>
      </c>
      <c r="BF8" s="26">
        <f t="shared" si="35"/>
        <v>49</v>
      </c>
      <c r="BG8" s="26">
        <f t="shared" si="36"/>
        <v>32</v>
      </c>
      <c r="BH8" s="26">
        <f t="shared" si="37"/>
        <v>13</v>
      </c>
      <c r="BI8" s="26">
        <f t="shared" si="38"/>
        <v>51</v>
      </c>
      <c r="BJ8" s="26">
        <f t="shared" si="39"/>
        <v>206</v>
      </c>
      <c r="BK8" s="34">
        <f t="shared" si="40"/>
        <v>16551</v>
      </c>
      <c r="BL8" s="31"/>
      <c r="BM8">
        <f t="shared" si="44"/>
        <v>1915</v>
      </c>
      <c r="BN8" t="s">
        <v>14</v>
      </c>
      <c r="BO8" s="8" t="str">
        <f t="shared" si="41"/>
        <v>15992,49,32,127,49,32,13,51,206,16551</v>
      </c>
      <c r="BP8"/>
      <c r="BQ8" s="9" t="str">
        <f t="shared" si="42"/>
        <v>1915 DATA 15992,49,32,127,49,32,13,51,206,16551</v>
      </c>
      <c r="BR8" s="31"/>
      <c r="BS8" s="31"/>
      <c r="BT8" s="9" t="s">
        <v>99</v>
      </c>
    </row>
    <row r="9" spans="1:72">
      <c r="A9" s="1" t="s">
        <v>42</v>
      </c>
      <c r="B9" s="3">
        <v>0</v>
      </c>
      <c r="C9" s="3" t="s">
        <v>17</v>
      </c>
      <c r="D9" s="3">
        <v>10</v>
      </c>
      <c r="E9" s="3" t="s">
        <v>43</v>
      </c>
      <c r="F9" s="3">
        <v>20</v>
      </c>
      <c r="G9" s="3" t="s">
        <v>27</v>
      </c>
      <c r="H9" s="3">
        <v>35</v>
      </c>
      <c r="I9" s="3">
        <v>60</v>
      </c>
      <c r="J9" s="3" t="s">
        <v>34</v>
      </c>
      <c r="K9" s="3">
        <v>3</v>
      </c>
      <c r="L9" s="3">
        <v>30</v>
      </c>
      <c r="M9" s="3" t="s">
        <v>3</v>
      </c>
      <c r="N9" s="3" t="s">
        <v>44</v>
      </c>
      <c r="O9" s="3">
        <v>2</v>
      </c>
      <c r="P9" s="3">
        <v>20</v>
      </c>
      <c r="Q9" s="3">
        <v>81</v>
      </c>
      <c r="S9" s="11">
        <f t="shared" si="18"/>
        <v>16000</v>
      </c>
      <c r="T9" s="16">
        <f t="shared" si="0"/>
        <v>0</v>
      </c>
      <c r="U9" s="17">
        <f t="shared" si="1"/>
        <v>62</v>
      </c>
      <c r="V9" s="17">
        <f t="shared" si="2"/>
        <v>16</v>
      </c>
      <c r="W9" s="17">
        <f t="shared" si="3"/>
        <v>239</v>
      </c>
      <c r="X9" s="17">
        <f t="shared" si="4"/>
        <v>32</v>
      </c>
      <c r="Y9" s="17">
        <f t="shared" si="5"/>
        <v>43</v>
      </c>
      <c r="Z9" s="17">
        <f t="shared" si="6"/>
        <v>53</v>
      </c>
      <c r="AA9" s="18">
        <f t="shared" si="7"/>
        <v>96</v>
      </c>
      <c r="AB9" s="25">
        <f t="shared" si="8"/>
        <v>173</v>
      </c>
      <c r="AC9" s="26">
        <f t="shared" si="9"/>
        <v>3</v>
      </c>
      <c r="AD9" s="26">
        <f t="shared" si="10"/>
        <v>48</v>
      </c>
      <c r="AE9" s="26">
        <f t="shared" si="11"/>
        <v>74</v>
      </c>
      <c r="AF9" s="26">
        <f t="shared" si="12"/>
        <v>233</v>
      </c>
      <c r="AG9" s="26">
        <f t="shared" si="13"/>
        <v>2</v>
      </c>
      <c r="AH9" s="26">
        <f t="shared" si="14"/>
        <v>32</v>
      </c>
      <c r="AI9" s="27">
        <f t="shared" si="15"/>
        <v>129</v>
      </c>
      <c r="AJ9" s="31"/>
      <c r="AK9" s="33">
        <f t="shared" si="19"/>
        <v>16000</v>
      </c>
      <c r="AL9" s="17">
        <f t="shared" si="20"/>
        <v>0</v>
      </c>
      <c r="AM9" s="17">
        <f t="shared" si="21"/>
        <v>62</v>
      </c>
      <c r="AN9" s="17">
        <f t="shared" si="22"/>
        <v>16</v>
      </c>
      <c r="AO9" s="17">
        <f t="shared" si="23"/>
        <v>239</v>
      </c>
      <c r="AP9" s="17">
        <f t="shared" si="24"/>
        <v>32</v>
      </c>
      <c r="AQ9" s="17">
        <f t="shared" si="25"/>
        <v>43</v>
      </c>
      <c r="AR9" s="17">
        <f t="shared" si="26"/>
        <v>53</v>
      </c>
      <c r="AS9" s="17">
        <f t="shared" si="27"/>
        <v>96</v>
      </c>
      <c r="AT9" s="34">
        <f t="shared" si="28"/>
        <v>16541</v>
      </c>
      <c r="AU9" s="31"/>
      <c r="AV9">
        <f t="shared" si="43"/>
        <v>1916</v>
      </c>
      <c r="AW9" t="s">
        <v>14</v>
      </c>
      <c r="AX9" s="8" t="str">
        <f t="shared" si="29"/>
        <v>16000,0,62,16,239,32,43,53,96,16541</v>
      </c>
      <c r="AY9" s="31"/>
      <c r="AZ9" s="9" t="str">
        <f t="shared" si="30"/>
        <v>1916 DATA 16000,0,62,16,239,32,43,53,96,16541</v>
      </c>
      <c r="BA9" s="31"/>
      <c r="BB9" s="33">
        <f t="shared" si="31"/>
        <v>16008</v>
      </c>
      <c r="BC9" s="26">
        <f t="shared" si="32"/>
        <v>173</v>
      </c>
      <c r="BD9" s="26">
        <f t="shared" si="33"/>
        <v>3</v>
      </c>
      <c r="BE9" s="26">
        <f t="shared" si="34"/>
        <v>48</v>
      </c>
      <c r="BF9" s="26">
        <f t="shared" si="35"/>
        <v>74</v>
      </c>
      <c r="BG9" s="26">
        <f t="shared" si="36"/>
        <v>233</v>
      </c>
      <c r="BH9" s="26">
        <f t="shared" si="37"/>
        <v>2</v>
      </c>
      <c r="BI9" s="26">
        <f t="shared" si="38"/>
        <v>32</v>
      </c>
      <c r="BJ9" s="26">
        <f t="shared" si="39"/>
        <v>129</v>
      </c>
      <c r="BK9" s="34">
        <f t="shared" si="40"/>
        <v>16702</v>
      </c>
      <c r="BL9" s="31"/>
      <c r="BM9">
        <f t="shared" si="44"/>
        <v>1917</v>
      </c>
      <c r="BN9" t="s">
        <v>14</v>
      </c>
      <c r="BO9" s="8" t="str">
        <f t="shared" si="41"/>
        <v>16008,173,3,48,74,233,2,32,129,16702</v>
      </c>
      <c r="BP9"/>
      <c r="BQ9" s="9" t="str">
        <f t="shared" si="42"/>
        <v>1917 DATA 16008,173,3,48,74,233,2,32,129,16702</v>
      </c>
      <c r="BR9" s="31"/>
      <c r="BS9" s="31"/>
      <c r="BT9" s="9" t="s">
        <v>100</v>
      </c>
    </row>
    <row r="10" spans="1:72">
      <c r="A10" s="1" t="s">
        <v>45</v>
      </c>
      <c r="B10" s="3">
        <v>31</v>
      </c>
      <c r="C10" s="3" t="s">
        <v>34</v>
      </c>
      <c r="D10" s="3">
        <v>1</v>
      </c>
      <c r="E10" s="3" t="s">
        <v>17</v>
      </c>
      <c r="F10" s="3" t="s">
        <v>46</v>
      </c>
      <c r="G10" s="3">
        <v>1</v>
      </c>
      <c r="H10" s="3" t="s">
        <v>47</v>
      </c>
      <c r="I10" s="3">
        <v>5</v>
      </c>
      <c r="J10" s="3" t="s">
        <v>7</v>
      </c>
      <c r="K10" s="3">
        <v>49</v>
      </c>
      <c r="L10" s="3">
        <v>18</v>
      </c>
      <c r="M10" s="3">
        <v>90</v>
      </c>
      <c r="N10" s="3">
        <v>2</v>
      </c>
      <c r="O10" s="3" t="s">
        <v>7</v>
      </c>
      <c r="P10" s="3" t="s">
        <v>2</v>
      </c>
      <c r="Q10" s="3">
        <v>20</v>
      </c>
      <c r="S10" s="11">
        <f t="shared" si="18"/>
        <v>16016</v>
      </c>
      <c r="T10" s="16">
        <f t="shared" si="0"/>
        <v>49</v>
      </c>
      <c r="U10" s="17">
        <f t="shared" si="1"/>
        <v>173</v>
      </c>
      <c r="V10" s="17">
        <f t="shared" si="2"/>
        <v>1</v>
      </c>
      <c r="W10" s="17">
        <f t="shared" si="3"/>
        <v>62</v>
      </c>
      <c r="X10" s="17">
        <f t="shared" si="4"/>
        <v>201</v>
      </c>
      <c r="Y10" s="17">
        <f t="shared" si="5"/>
        <v>1</v>
      </c>
      <c r="Z10" s="17">
        <f t="shared" si="6"/>
        <v>208</v>
      </c>
      <c r="AA10" s="18">
        <f t="shared" si="7"/>
        <v>5</v>
      </c>
      <c r="AB10" s="25">
        <f t="shared" si="8"/>
        <v>169</v>
      </c>
      <c r="AC10" s="26">
        <f t="shared" si="9"/>
        <v>73</v>
      </c>
      <c r="AD10" s="26">
        <f t="shared" si="10"/>
        <v>24</v>
      </c>
      <c r="AE10" s="26">
        <f t="shared" si="11"/>
        <v>144</v>
      </c>
      <c r="AF10" s="26">
        <f t="shared" si="12"/>
        <v>2</v>
      </c>
      <c r="AG10" s="26">
        <f t="shared" si="13"/>
        <v>169</v>
      </c>
      <c r="AH10" s="26">
        <f t="shared" si="14"/>
        <v>79</v>
      </c>
      <c r="AI10" s="27">
        <f t="shared" si="15"/>
        <v>32</v>
      </c>
      <c r="AJ10" s="31"/>
      <c r="AK10" s="33">
        <f t="shared" si="19"/>
        <v>16016</v>
      </c>
      <c r="AL10" s="17">
        <f t="shared" si="20"/>
        <v>49</v>
      </c>
      <c r="AM10" s="17">
        <f t="shared" si="21"/>
        <v>173</v>
      </c>
      <c r="AN10" s="17">
        <f t="shared" si="22"/>
        <v>1</v>
      </c>
      <c r="AO10" s="17">
        <f t="shared" si="23"/>
        <v>62</v>
      </c>
      <c r="AP10" s="17">
        <f t="shared" si="24"/>
        <v>201</v>
      </c>
      <c r="AQ10" s="17">
        <f t="shared" si="25"/>
        <v>1</v>
      </c>
      <c r="AR10" s="17">
        <f t="shared" si="26"/>
        <v>208</v>
      </c>
      <c r="AS10" s="17">
        <f t="shared" si="27"/>
        <v>5</v>
      </c>
      <c r="AT10" s="34">
        <f t="shared" si="28"/>
        <v>16716</v>
      </c>
      <c r="AU10" s="31"/>
      <c r="AV10">
        <f t="shared" si="43"/>
        <v>1918</v>
      </c>
      <c r="AW10" t="s">
        <v>14</v>
      </c>
      <c r="AX10" s="8" t="str">
        <f t="shared" si="29"/>
        <v>16016,49,173,1,62,201,1,208,5,16716</v>
      </c>
      <c r="AY10" s="31"/>
      <c r="AZ10" s="9" t="str">
        <f t="shared" si="30"/>
        <v>1918 DATA 16016,49,173,1,62,201,1,208,5,16716</v>
      </c>
      <c r="BA10" s="31"/>
      <c r="BB10" s="33">
        <f t="shared" si="31"/>
        <v>16024</v>
      </c>
      <c r="BC10" s="26">
        <f t="shared" si="32"/>
        <v>169</v>
      </c>
      <c r="BD10" s="26">
        <f t="shared" si="33"/>
        <v>73</v>
      </c>
      <c r="BE10" s="26">
        <f t="shared" si="34"/>
        <v>24</v>
      </c>
      <c r="BF10" s="26">
        <f t="shared" si="35"/>
        <v>144</v>
      </c>
      <c r="BG10" s="26">
        <f t="shared" si="36"/>
        <v>2</v>
      </c>
      <c r="BH10" s="26">
        <f t="shared" si="37"/>
        <v>169</v>
      </c>
      <c r="BI10" s="26">
        <f t="shared" si="38"/>
        <v>79</v>
      </c>
      <c r="BJ10" s="26">
        <f t="shared" si="39"/>
        <v>32</v>
      </c>
      <c r="BK10" s="34">
        <f t="shared" si="40"/>
        <v>16716</v>
      </c>
      <c r="BL10" s="31"/>
      <c r="BM10">
        <f t="shared" si="44"/>
        <v>1919</v>
      </c>
      <c r="BN10" t="s">
        <v>14</v>
      </c>
      <c r="BO10" s="8" t="str">
        <f t="shared" si="41"/>
        <v>16024,169,73,24,144,2,169,79,32,16716</v>
      </c>
      <c r="BP10"/>
      <c r="BQ10" s="9" t="str">
        <f t="shared" si="42"/>
        <v>1919 DATA 16024,169,73,24,144,2,169,79,32,16716</v>
      </c>
      <c r="BR10" s="31"/>
      <c r="BS10" s="31"/>
      <c r="BT10" s="9" t="s">
        <v>101</v>
      </c>
    </row>
    <row r="11" spans="1:72">
      <c r="A11" s="1" t="s">
        <v>48</v>
      </c>
      <c r="B11" s="3" t="s">
        <v>40</v>
      </c>
      <c r="C11" s="3">
        <v>31</v>
      </c>
      <c r="D11" s="3" t="s">
        <v>7</v>
      </c>
      <c r="E11" s="3">
        <v>2</v>
      </c>
      <c r="F11" s="3">
        <v>20</v>
      </c>
      <c r="G11" s="3">
        <v>81</v>
      </c>
      <c r="H11" s="3">
        <v>31</v>
      </c>
      <c r="I11" s="3" t="s">
        <v>34</v>
      </c>
      <c r="J11" s="3">
        <v>7</v>
      </c>
      <c r="K11" s="3">
        <v>30</v>
      </c>
      <c r="L11" s="3">
        <v>20</v>
      </c>
      <c r="M11" s="3" t="s">
        <v>40</v>
      </c>
      <c r="N11" s="3">
        <v>31</v>
      </c>
      <c r="O11" s="3" t="s">
        <v>7</v>
      </c>
      <c r="P11" s="3">
        <v>2</v>
      </c>
      <c r="Q11" s="3">
        <v>20</v>
      </c>
      <c r="S11" s="11">
        <f t="shared" si="18"/>
        <v>16032</v>
      </c>
      <c r="T11" s="16">
        <f t="shared" si="0"/>
        <v>155</v>
      </c>
      <c r="U11" s="17">
        <f t="shared" si="1"/>
        <v>49</v>
      </c>
      <c r="V11" s="17">
        <f t="shared" si="2"/>
        <v>169</v>
      </c>
      <c r="W11" s="17">
        <f t="shared" si="3"/>
        <v>2</v>
      </c>
      <c r="X11" s="17">
        <f t="shared" si="4"/>
        <v>32</v>
      </c>
      <c r="Y11" s="17">
        <f t="shared" si="5"/>
        <v>129</v>
      </c>
      <c r="Z11" s="17">
        <f t="shared" si="6"/>
        <v>49</v>
      </c>
      <c r="AA11" s="18">
        <f t="shared" si="7"/>
        <v>173</v>
      </c>
      <c r="AB11" s="25">
        <f t="shared" si="8"/>
        <v>7</v>
      </c>
      <c r="AC11" s="26">
        <f t="shared" si="9"/>
        <v>48</v>
      </c>
      <c r="AD11" s="26">
        <f t="shared" si="10"/>
        <v>32</v>
      </c>
      <c r="AE11" s="26">
        <f t="shared" si="11"/>
        <v>155</v>
      </c>
      <c r="AF11" s="26">
        <f t="shared" si="12"/>
        <v>49</v>
      </c>
      <c r="AG11" s="26">
        <f t="shared" si="13"/>
        <v>169</v>
      </c>
      <c r="AH11" s="26">
        <f t="shared" si="14"/>
        <v>2</v>
      </c>
      <c r="AI11" s="27">
        <f t="shared" si="15"/>
        <v>32</v>
      </c>
      <c r="AJ11" s="31"/>
      <c r="AK11" s="33">
        <f t="shared" si="19"/>
        <v>16032</v>
      </c>
      <c r="AL11" s="17">
        <f t="shared" si="20"/>
        <v>155</v>
      </c>
      <c r="AM11" s="17">
        <f t="shared" si="21"/>
        <v>49</v>
      </c>
      <c r="AN11" s="17">
        <f t="shared" si="22"/>
        <v>169</v>
      </c>
      <c r="AO11" s="17">
        <f t="shared" si="23"/>
        <v>2</v>
      </c>
      <c r="AP11" s="17">
        <f t="shared" si="24"/>
        <v>32</v>
      </c>
      <c r="AQ11" s="17">
        <f t="shared" si="25"/>
        <v>129</v>
      </c>
      <c r="AR11" s="17">
        <f t="shared" si="26"/>
        <v>49</v>
      </c>
      <c r="AS11" s="17">
        <f t="shared" si="27"/>
        <v>173</v>
      </c>
      <c r="AT11" s="34">
        <f t="shared" si="28"/>
        <v>16790</v>
      </c>
      <c r="AU11" s="31"/>
      <c r="AV11">
        <f t="shared" si="43"/>
        <v>1920</v>
      </c>
      <c r="AW11" t="s">
        <v>14</v>
      </c>
      <c r="AX11" s="8" t="str">
        <f t="shared" si="29"/>
        <v>16032,155,49,169,2,32,129,49,173,16790</v>
      </c>
      <c r="AY11" s="31"/>
      <c r="AZ11" s="9" t="str">
        <f t="shared" si="30"/>
        <v>1920 DATA 16032,155,49,169,2,32,129,49,173,16790</v>
      </c>
      <c r="BA11" s="31"/>
      <c r="BB11" s="33">
        <f t="shared" si="31"/>
        <v>16040</v>
      </c>
      <c r="BC11" s="26">
        <f t="shared" si="32"/>
        <v>7</v>
      </c>
      <c r="BD11" s="26">
        <f t="shared" si="33"/>
        <v>48</v>
      </c>
      <c r="BE11" s="26">
        <f t="shared" si="34"/>
        <v>32</v>
      </c>
      <c r="BF11" s="26">
        <f t="shared" si="35"/>
        <v>155</v>
      </c>
      <c r="BG11" s="26">
        <f t="shared" si="36"/>
        <v>49</v>
      </c>
      <c r="BH11" s="26">
        <f t="shared" si="37"/>
        <v>169</v>
      </c>
      <c r="BI11" s="26">
        <f t="shared" si="38"/>
        <v>2</v>
      </c>
      <c r="BJ11" s="26">
        <f t="shared" si="39"/>
        <v>32</v>
      </c>
      <c r="BK11" s="34">
        <f t="shared" si="40"/>
        <v>16534</v>
      </c>
      <c r="BL11" s="31"/>
      <c r="BM11">
        <f t="shared" si="44"/>
        <v>1921</v>
      </c>
      <c r="BN11" t="s">
        <v>14</v>
      </c>
      <c r="BO11" s="8" t="str">
        <f t="shared" si="41"/>
        <v>16040,7,48,32,155,49,169,2,32,16534</v>
      </c>
      <c r="BP11"/>
      <c r="BQ11" s="9" t="str">
        <f t="shared" si="42"/>
        <v>1921 DATA 16040,7,48,32,155,49,169,2,32,16534</v>
      </c>
      <c r="BR11" s="31"/>
      <c r="BS11" s="31"/>
      <c r="BT11" s="9" t="s">
        <v>102</v>
      </c>
    </row>
    <row r="12" spans="1:72">
      <c r="A12" s="1" t="s">
        <v>49</v>
      </c>
      <c r="B12" s="3">
        <v>81</v>
      </c>
      <c r="C12" s="3">
        <v>31</v>
      </c>
      <c r="D12" s="3" t="s">
        <v>34</v>
      </c>
      <c r="E12" s="3">
        <v>6</v>
      </c>
      <c r="F12" s="3">
        <v>32</v>
      </c>
      <c r="G12" s="3">
        <v>20</v>
      </c>
      <c r="H12" s="3" t="s">
        <v>6</v>
      </c>
      <c r="I12" s="3">
        <v>31</v>
      </c>
      <c r="J12" s="3" t="s">
        <v>34</v>
      </c>
      <c r="K12" s="3">
        <v>5</v>
      </c>
      <c r="L12" s="3">
        <v>32</v>
      </c>
      <c r="M12" s="3">
        <v>20</v>
      </c>
      <c r="N12" s="3" t="s">
        <v>6</v>
      </c>
      <c r="O12" s="3">
        <v>31</v>
      </c>
      <c r="P12" s="3">
        <v>60</v>
      </c>
      <c r="Q12" s="3">
        <v>0</v>
      </c>
      <c r="S12" s="11">
        <f t="shared" si="18"/>
        <v>16048</v>
      </c>
      <c r="T12" s="16">
        <f t="shared" si="0"/>
        <v>129</v>
      </c>
      <c r="U12" s="17">
        <f t="shared" si="1"/>
        <v>49</v>
      </c>
      <c r="V12" s="17">
        <f t="shared" si="2"/>
        <v>173</v>
      </c>
      <c r="W12" s="17">
        <f t="shared" si="3"/>
        <v>6</v>
      </c>
      <c r="X12" s="17">
        <f t="shared" si="4"/>
        <v>50</v>
      </c>
      <c r="Y12" s="17">
        <f t="shared" si="5"/>
        <v>32</v>
      </c>
      <c r="Z12" s="17">
        <f t="shared" si="6"/>
        <v>163</v>
      </c>
      <c r="AA12" s="18">
        <f t="shared" si="7"/>
        <v>49</v>
      </c>
      <c r="AB12" s="25">
        <f t="shared" si="8"/>
        <v>173</v>
      </c>
      <c r="AC12" s="26">
        <f t="shared" si="9"/>
        <v>5</v>
      </c>
      <c r="AD12" s="26">
        <f t="shared" si="10"/>
        <v>50</v>
      </c>
      <c r="AE12" s="26">
        <f t="shared" si="11"/>
        <v>32</v>
      </c>
      <c r="AF12" s="26">
        <f t="shared" si="12"/>
        <v>163</v>
      </c>
      <c r="AG12" s="26">
        <f t="shared" si="13"/>
        <v>49</v>
      </c>
      <c r="AH12" s="26">
        <f t="shared" si="14"/>
        <v>96</v>
      </c>
      <c r="AI12" s="27">
        <f t="shared" si="15"/>
        <v>0</v>
      </c>
      <c r="AJ12" s="31"/>
      <c r="AK12" s="33">
        <f t="shared" si="19"/>
        <v>16048</v>
      </c>
      <c r="AL12" s="17">
        <f t="shared" si="20"/>
        <v>129</v>
      </c>
      <c r="AM12" s="17">
        <f t="shared" si="21"/>
        <v>49</v>
      </c>
      <c r="AN12" s="17">
        <f t="shared" si="22"/>
        <v>173</v>
      </c>
      <c r="AO12" s="17">
        <f t="shared" si="23"/>
        <v>6</v>
      </c>
      <c r="AP12" s="17">
        <f t="shared" si="24"/>
        <v>50</v>
      </c>
      <c r="AQ12" s="17">
        <f t="shared" si="25"/>
        <v>32</v>
      </c>
      <c r="AR12" s="17">
        <f t="shared" si="26"/>
        <v>163</v>
      </c>
      <c r="AS12" s="17">
        <f t="shared" si="27"/>
        <v>49</v>
      </c>
      <c r="AT12" s="34">
        <f t="shared" si="28"/>
        <v>16699</v>
      </c>
      <c r="AU12" s="31"/>
      <c r="AV12">
        <f t="shared" si="43"/>
        <v>1922</v>
      </c>
      <c r="AW12" t="s">
        <v>14</v>
      </c>
      <c r="AX12" s="8" t="str">
        <f t="shared" si="29"/>
        <v>16048,129,49,173,6,50,32,163,49,16699</v>
      </c>
      <c r="AY12" s="31"/>
      <c r="AZ12" s="9" t="str">
        <f t="shared" si="30"/>
        <v>1922 DATA 16048,129,49,173,6,50,32,163,49,16699</v>
      </c>
      <c r="BA12" s="31"/>
      <c r="BB12" s="33">
        <f t="shared" si="31"/>
        <v>16056</v>
      </c>
      <c r="BC12" s="26">
        <f t="shared" si="32"/>
        <v>173</v>
      </c>
      <c r="BD12" s="26">
        <f t="shared" si="33"/>
        <v>5</v>
      </c>
      <c r="BE12" s="26">
        <f t="shared" si="34"/>
        <v>50</v>
      </c>
      <c r="BF12" s="26">
        <f t="shared" si="35"/>
        <v>32</v>
      </c>
      <c r="BG12" s="26">
        <f t="shared" si="36"/>
        <v>163</v>
      </c>
      <c r="BH12" s="26">
        <f t="shared" si="37"/>
        <v>49</v>
      </c>
      <c r="BI12" s="26">
        <f t="shared" si="38"/>
        <v>96</v>
      </c>
      <c r="BJ12" s="26">
        <f t="shared" si="39"/>
        <v>0</v>
      </c>
      <c r="BK12" s="34">
        <f t="shared" si="40"/>
        <v>16624</v>
      </c>
      <c r="BL12" s="31"/>
      <c r="BM12">
        <f t="shared" si="44"/>
        <v>1923</v>
      </c>
      <c r="BN12" t="s">
        <v>14</v>
      </c>
      <c r="BO12" s="8" t="str">
        <f t="shared" si="41"/>
        <v>16056,173,5,50,32,163,49,96,0,16624</v>
      </c>
      <c r="BP12"/>
      <c r="BQ12" s="9" t="str">
        <f t="shared" si="42"/>
        <v>1923 DATA 16056,173,5,50,32,163,49,96,0,16624</v>
      </c>
      <c r="BR12" s="31"/>
      <c r="BS12" s="31"/>
      <c r="BT12" s="9" t="s">
        <v>103</v>
      </c>
    </row>
    <row r="13" spans="1:72">
      <c r="A13" s="1" t="s">
        <v>50</v>
      </c>
      <c r="B13" s="3">
        <v>93</v>
      </c>
      <c r="C13" s="3">
        <v>94</v>
      </c>
      <c r="D13" s="3" t="s">
        <v>91</v>
      </c>
      <c r="E13" s="3" t="s">
        <v>9</v>
      </c>
      <c r="F13" s="3">
        <v>10</v>
      </c>
      <c r="G13" s="3">
        <v>14</v>
      </c>
      <c r="H13" s="3">
        <v>51</v>
      </c>
      <c r="I13" s="3">
        <v>0</v>
      </c>
      <c r="J13" s="3">
        <v>20</v>
      </c>
      <c r="K13" s="3" t="s">
        <v>51</v>
      </c>
      <c r="L13" s="3">
        <v>32</v>
      </c>
      <c r="M13" s="3" t="s">
        <v>52</v>
      </c>
      <c r="N13" s="3" t="s">
        <v>53</v>
      </c>
      <c r="O13" s="3" t="s">
        <v>17</v>
      </c>
      <c r="P13" s="3" t="s">
        <v>47</v>
      </c>
      <c r="Q13" s="3">
        <v>17</v>
      </c>
      <c r="S13" s="11">
        <f t="shared" si="18"/>
        <v>16064</v>
      </c>
      <c r="T13" s="16">
        <f t="shared" si="0"/>
        <v>147</v>
      </c>
      <c r="U13" s="17">
        <f t="shared" si="1"/>
        <v>148</v>
      </c>
      <c r="V13" s="17">
        <f t="shared" si="2"/>
        <v>29</v>
      </c>
      <c r="W13" s="17">
        <f t="shared" si="3"/>
        <v>157</v>
      </c>
      <c r="X13" s="17">
        <f t="shared" si="4"/>
        <v>16</v>
      </c>
      <c r="Y13" s="17">
        <f t="shared" si="5"/>
        <v>20</v>
      </c>
      <c r="Z13" s="17">
        <f t="shared" si="6"/>
        <v>81</v>
      </c>
      <c r="AA13" s="18">
        <f t="shared" si="7"/>
        <v>0</v>
      </c>
      <c r="AB13" s="25">
        <f t="shared" si="8"/>
        <v>32</v>
      </c>
      <c r="AC13" s="26">
        <f t="shared" si="9"/>
        <v>224</v>
      </c>
      <c r="AD13" s="26">
        <f t="shared" si="10"/>
        <v>50</v>
      </c>
      <c r="AE13" s="26">
        <f t="shared" si="11"/>
        <v>205</v>
      </c>
      <c r="AF13" s="26">
        <f t="shared" si="12"/>
        <v>198</v>
      </c>
      <c r="AG13" s="26">
        <f t="shared" si="13"/>
        <v>62</v>
      </c>
      <c r="AH13" s="26">
        <f t="shared" si="14"/>
        <v>208</v>
      </c>
      <c r="AI13" s="27">
        <f t="shared" si="15"/>
        <v>23</v>
      </c>
      <c r="AJ13" s="31"/>
      <c r="AK13" s="33">
        <f t="shared" si="19"/>
        <v>16064</v>
      </c>
      <c r="AL13" s="17">
        <f t="shared" si="20"/>
        <v>147</v>
      </c>
      <c r="AM13" s="17">
        <f t="shared" si="21"/>
        <v>148</v>
      </c>
      <c r="AN13" s="17">
        <f t="shared" si="22"/>
        <v>29</v>
      </c>
      <c r="AO13" s="17">
        <f t="shared" si="23"/>
        <v>157</v>
      </c>
      <c r="AP13" s="17">
        <f t="shared" si="24"/>
        <v>16</v>
      </c>
      <c r="AQ13" s="17">
        <f t="shared" si="25"/>
        <v>20</v>
      </c>
      <c r="AR13" s="17">
        <f t="shared" si="26"/>
        <v>81</v>
      </c>
      <c r="AS13" s="17">
        <f t="shared" si="27"/>
        <v>0</v>
      </c>
      <c r="AT13" s="34">
        <f t="shared" si="28"/>
        <v>16662</v>
      </c>
      <c r="AU13" s="31"/>
      <c r="AV13">
        <f t="shared" si="43"/>
        <v>1924</v>
      </c>
      <c r="AW13" t="s">
        <v>14</v>
      </c>
      <c r="AX13" s="8" t="str">
        <f t="shared" si="29"/>
        <v>16064,147,148,29,157,16,20,81,0,16662</v>
      </c>
      <c r="AY13" s="31"/>
      <c r="AZ13" s="9" t="str">
        <f t="shared" si="30"/>
        <v>1924 DATA 16064,147,148,29,157,16,20,81,0,16662</v>
      </c>
      <c r="BA13" s="31"/>
      <c r="BB13" s="33">
        <f t="shared" si="31"/>
        <v>16072</v>
      </c>
      <c r="BC13" s="26">
        <f t="shared" si="32"/>
        <v>32</v>
      </c>
      <c r="BD13" s="26">
        <f t="shared" si="33"/>
        <v>224</v>
      </c>
      <c r="BE13" s="26">
        <f t="shared" si="34"/>
        <v>50</v>
      </c>
      <c r="BF13" s="26">
        <f t="shared" si="35"/>
        <v>205</v>
      </c>
      <c r="BG13" s="26">
        <f t="shared" si="36"/>
        <v>198</v>
      </c>
      <c r="BH13" s="26">
        <f t="shared" si="37"/>
        <v>62</v>
      </c>
      <c r="BI13" s="26">
        <f t="shared" si="38"/>
        <v>208</v>
      </c>
      <c r="BJ13" s="26">
        <f t="shared" si="39"/>
        <v>23</v>
      </c>
      <c r="BK13" s="34">
        <f t="shared" si="40"/>
        <v>17074</v>
      </c>
      <c r="BL13" s="31"/>
      <c r="BM13">
        <f t="shared" si="44"/>
        <v>1925</v>
      </c>
      <c r="BN13" t="s">
        <v>14</v>
      </c>
      <c r="BO13" s="8" t="str">
        <f t="shared" si="41"/>
        <v>16072,32,224,50,205,198,62,208,23,17074</v>
      </c>
      <c r="BP13"/>
      <c r="BQ13" s="9" t="str">
        <f t="shared" si="42"/>
        <v>1925 DATA 16072,32,224,50,205,198,62,208,23,17074</v>
      </c>
      <c r="BR13" s="31"/>
      <c r="BS13" s="31"/>
      <c r="BT13" s="9" t="s">
        <v>104</v>
      </c>
    </row>
    <row r="14" spans="1:72">
      <c r="A14" s="1" t="s">
        <v>54</v>
      </c>
      <c r="B14" s="3">
        <v>48</v>
      </c>
      <c r="C14" s="3">
        <v>20</v>
      </c>
      <c r="D14" s="3" t="s">
        <v>51</v>
      </c>
      <c r="E14" s="3">
        <v>32</v>
      </c>
      <c r="F14" s="3" t="s">
        <v>52</v>
      </c>
      <c r="G14" s="3" t="s">
        <v>53</v>
      </c>
      <c r="H14" s="3" t="s">
        <v>17</v>
      </c>
      <c r="I14" s="3" t="s">
        <v>47</v>
      </c>
      <c r="J14" s="3">
        <v>4</v>
      </c>
      <c r="K14" s="3">
        <v>68</v>
      </c>
      <c r="L14" s="3">
        <v>68</v>
      </c>
      <c r="M14" s="3">
        <v>68</v>
      </c>
      <c r="N14" s="3">
        <v>60</v>
      </c>
      <c r="O14" s="3" t="s">
        <v>39</v>
      </c>
      <c r="P14" s="3" t="s">
        <v>55</v>
      </c>
      <c r="Q14" s="3" t="s">
        <v>17</v>
      </c>
      <c r="S14" s="11">
        <f t="shared" si="18"/>
        <v>16080</v>
      </c>
      <c r="T14" s="16">
        <f t="shared" si="0"/>
        <v>72</v>
      </c>
      <c r="U14" s="17">
        <f t="shared" si="1"/>
        <v>32</v>
      </c>
      <c r="V14" s="17">
        <f t="shared" si="2"/>
        <v>224</v>
      </c>
      <c r="W14" s="17">
        <f t="shared" si="3"/>
        <v>50</v>
      </c>
      <c r="X14" s="17">
        <f t="shared" si="4"/>
        <v>205</v>
      </c>
      <c r="Y14" s="17">
        <f t="shared" si="5"/>
        <v>198</v>
      </c>
      <c r="Z14" s="17">
        <f t="shared" si="6"/>
        <v>62</v>
      </c>
      <c r="AA14" s="18">
        <f t="shared" si="7"/>
        <v>208</v>
      </c>
      <c r="AB14" s="25">
        <f t="shared" si="8"/>
        <v>4</v>
      </c>
      <c r="AC14" s="26">
        <f t="shared" si="9"/>
        <v>104</v>
      </c>
      <c r="AD14" s="26">
        <f t="shared" si="10"/>
        <v>104</v>
      </c>
      <c r="AE14" s="26">
        <f t="shared" si="11"/>
        <v>104</v>
      </c>
      <c r="AF14" s="26">
        <f t="shared" si="12"/>
        <v>96</v>
      </c>
      <c r="AG14" s="26">
        <f t="shared" si="13"/>
        <v>141</v>
      </c>
      <c r="AH14" s="26">
        <f t="shared" si="14"/>
        <v>199</v>
      </c>
      <c r="AI14" s="27">
        <f t="shared" si="15"/>
        <v>62</v>
      </c>
      <c r="AJ14" s="31"/>
      <c r="AK14" s="33">
        <f t="shared" si="19"/>
        <v>16080</v>
      </c>
      <c r="AL14" s="17">
        <f t="shared" si="20"/>
        <v>72</v>
      </c>
      <c r="AM14" s="17">
        <f t="shared" si="21"/>
        <v>32</v>
      </c>
      <c r="AN14" s="17">
        <f t="shared" si="22"/>
        <v>224</v>
      </c>
      <c r="AO14" s="17">
        <f t="shared" si="23"/>
        <v>50</v>
      </c>
      <c r="AP14" s="17">
        <f t="shared" si="24"/>
        <v>205</v>
      </c>
      <c r="AQ14" s="17">
        <f t="shared" si="25"/>
        <v>198</v>
      </c>
      <c r="AR14" s="17">
        <f t="shared" si="26"/>
        <v>62</v>
      </c>
      <c r="AS14" s="17">
        <f t="shared" si="27"/>
        <v>208</v>
      </c>
      <c r="AT14" s="34">
        <f t="shared" si="28"/>
        <v>17131</v>
      </c>
      <c r="AU14" s="31"/>
      <c r="AV14">
        <f t="shared" si="43"/>
        <v>1926</v>
      </c>
      <c r="AW14" t="s">
        <v>14</v>
      </c>
      <c r="AX14" s="8" t="str">
        <f t="shared" si="29"/>
        <v>16080,72,32,224,50,205,198,62,208,17131</v>
      </c>
      <c r="AY14" s="31"/>
      <c r="AZ14" s="9" t="str">
        <f t="shared" si="30"/>
        <v>1926 DATA 16080,72,32,224,50,205,198,62,208,17131</v>
      </c>
      <c r="BA14" s="31"/>
      <c r="BB14" s="33">
        <f t="shared" si="31"/>
        <v>16088</v>
      </c>
      <c r="BC14" s="26">
        <f t="shared" si="32"/>
        <v>4</v>
      </c>
      <c r="BD14" s="26">
        <f t="shared" si="33"/>
        <v>104</v>
      </c>
      <c r="BE14" s="26">
        <f t="shared" si="34"/>
        <v>104</v>
      </c>
      <c r="BF14" s="26">
        <f t="shared" si="35"/>
        <v>104</v>
      </c>
      <c r="BG14" s="26">
        <f t="shared" si="36"/>
        <v>96</v>
      </c>
      <c r="BH14" s="26">
        <f t="shared" si="37"/>
        <v>141</v>
      </c>
      <c r="BI14" s="26">
        <f t="shared" si="38"/>
        <v>199</v>
      </c>
      <c r="BJ14" s="26">
        <f t="shared" si="39"/>
        <v>62</v>
      </c>
      <c r="BK14" s="34">
        <f t="shared" si="40"/>
        <v>16902</v>
      </c>
      <c r="BL14" s="31"/>
      <c r="BM14">
        <f t="shared" si="44"/>
        <v>1927</v>
      </c>
      <c r="BN14" t="s">
        <v>14</v>
      </c>
      <c r="BO14" s="8" t="str">
        <f t="shared" si="41"/>
        <v>16088,4,104,104,104,96,141,199,62,16902</v>
      </c>
      <c r="BP14"/>
      <c r="BQ14" s="9" t="str">
        <f t="shared" si="42"/>
        <v>1927 DATA 16088,4,104,104,104,96,141,199,62,16902</v>
      </c>
      <c r="BR14" s="31"/>
      <c r="BS14" s="31"/>
      <c r="BT14" s="9" t="s">
        <v>105</v>
      </c>
    </row>
    <row r="15" spans="1:72">
      <c r="A15" s="1" t="s">
        <v>56</v>
      </c>
      <c r="B15" s="3">
        <v>68</v>
      </c>
      <c r="C15" s="3">
        <v>20</v>
      </c>
      <c r="D15" s="3" t="s">
        <v>57</v>
      </c>
      <c r="E15" s="3" t="s">
        <v>17</v>
      </c>
      <c r="F15" s="3" t="s">
        <v>34</v>
      </c>
      <c r="G15" s="3" t="s">
        <v>55</v>
      </c>
      <c r="H15" s="3" t="s">
        <v>17</v>
      </c>
      <c r="I15" s="3" t="s">
        <v>52</v>
      </c>
      <c r="J15" s="3" t="s">
        <v>58</v>
      </c>
      <c r="K15" s="3" t="s">
        <v>17</v>
      </c>
      <c r="L15" s="3" t="s">
        <v>47</v>
      </c>
      <c r="M15" s="3" t="s">
        <v>59</v>
      </c>
      <c r="N15" s="3" t="s">
        <v>41</v>
      </c>
      <c r="O15" s="3">
        <v>1</v>
      </c>
      <c r="P15" s="3" t="s">
        <v>17</v>
      </c>
      <c r="Q15" s="3">
        <v>10</v>
      </c>
      <c r="S15" s="11">
        <f t="shared" si="18"/>
        <v>16096</v>
      </c>
      <c r="T15" s="16">
        <f t="shared" si="0"/>
        <v>104</v>
      </c>
      <c r="U15" s="17">
        <f t="shared" si="1"/>
        <v>32</v>
      </c>
      <c r="V15" s="17">
        <f t="shared" si="2"/>
        <v>231</v>
      </c>
      <c r="W15" s="17">
        <f t="shared" si="3"/>
        <v>62</v>
      </c>
      <c r="X15" s="17">
        <f t="shared" si="4"/>
        <v>173</v>
      </c>
      <c r="Y15" s="17">
        <f t="shared" si="5"/>
        <v>199</v>
      </c>
      <c r="Z15" s="17">
        <f t="shared" si="6"/>
        <v>62</v>
      </c>
      <c r="AA15" s="18">
        <f t="shared" si="7"/>
        <v>205</v>
      </c>
      <c r="AB15" s="25">
        <f t="shared" si="8"/>
        <v>193</v>
      </c>
      <c r="AC15" s="26">
        <f t="shared" si="9"/>
        <v>62</v>
      </c>
      <c r="AD15" s="26">
        <f t="shared" si="10"/>
        <v>208</v>
      </c>
      <c r="AE15" s="26">
        <f t="shared" si="11"/>
        <v>11</v>
      </c>
      <c r="AF15" s="26">
        <f t="shared" si="12"/>
        <v>206</v>
      </c>
      <c r="AG15" s="26">
        <f t="shared" si="13"/>
        <v>1</v>
      </c>
      <c r="AH15" s="26">
        <f t="shared" si="14"/>
        <v>62</v>
      </c>
      <c r="AI15" s="27">
        <f t="shared" si="15"/>
        <v>16</v>
      </c>
      <c r="AJ15" s="31"/>
      <c r="AK15" s="33">
        <f t="shared" si="19"/>
        <v>16096</v>
      </c>
      <c r="AL15" s="17">
        <f t="shared" si="20"/>
        <v>104</v>
      </c>
      <c r="AM15" s="17">
        <f t="shared" si="21"/>
        <v>32</v>
      </c>
      <c r="AN15" s="17">
        <f t="shared" si="22"/>
        <v>231</v>
      </c>
      <c r="AO15" s="17">
        <f t="shared" si="23"/>
        <v>62</v>
      </c>
      <c r="AP15" s="17">
        <f t="shared" si="24"/>
        <v>173</v>
      </c>
      <c r="AQ15" s="17">
        <f t="shared" si="25"/>
        <v>199</v>
      </c>
      <c r="AR15" s="17">
        <f t="shared" si="26"/>
        <v>62</v>
      </c>
      <c r="AS15" s="17">
        <f t="shared" si="27"/>
        <v>205</v>
      </c>
      <c r="AT15" s="34">
        <f t="shared" si="28"/>
        <v>17164</v>
      </c>
      <c r="AU15" s="31"/>
      <c r="AV15">
        <f t="shared" si="43"/>
        <v>1928</v>
      </c>
      <c r="AW15" t="s">
        <v>14</v>
      </c>
      <c r="AX15" s="8" t="str">
        <f t="shared" si="29"/>
        <v>16096,104,32,231,62,173,199,62,205,17164</v>
      </c>
      <c r="AY15" s="31"/>
      <c r="AZ15" s="9" t="str">
        <f t="shared" si="30"/>
        <v>1928 DATA 16096,104,32,231,62,173,199,62,205,17164</v>
      </c>
      <c r="BA15" s="31"/>
      <c r="BB15" s="33">
        <f t="shared" si="31"/>
        <v>16104</v>
      </c>
      <c r="BC15" s="26">
        <f t="shared" si="32"/>
        <v>193</v>
      </c>
      <c r="BD15" s="26">
        <f t="shared" si="33"/>
        <v>62</v>
      </c>
      <c r="BE15" s="26">
        <f t="shared" si="34"/>
        <v>208</v>
      </c>
      <c r="BF15" s="26">
        <f t="shared" si="35"/>
        <v>11</v>
      </c>
      <c r="BG15" s="26">
        <f t="shared" si="36"/>
        <v>206</v>
      </c>
      <c r="BH15" s="26">
        <f t="shared" si="37"/>
        <v>1</v>
      </c>
      <c r="BI15" s="26">
        <f t="shared" si="38"/>
        <v>62</v>
      </c>
      <c r="BJ15" s="26">
        <f t="shared" si="39"/>
        <v>16</v>
      </c>
      <c r="BK15" s="34">
        <f t="shared" si="40"/>
        <v>16863</v>
      </c>
      <c r="BL15" s="31"/>
      <c r="BM15">
        <f t="shared" si="44"/>
        <v>1929</v>
      </c>
      <c r="BN15" t="s">
        <v>14</v>
      </c>
      <c r="BO15" s="8" t="str">
        <f t="shared" si="41"/>
        <v>16104,193,62,208,11,206,1,62,16,16863</v>
      </c>
      <c r="BP15"/>
      <c r="BQ15" s="9" t="str">
        <f t="shared" si="42"/>
        <v>1929 DATA 16104,193,62,208,11,206,1,62,16,16863</v>
      </c>
      <c r="BR15" s="31"/>
      <c r="BS15" s="31"/>
      <c r="BT15" s="9" t="s">
        <v>106</v>
      </c>
    </row>
    <row r="16" spans="1:72">
      <c r="A16" s="1" t="s">
        <v>60</v>
      </c>
      <c r="B16" s="3">
        <v>5</v>
      </c>
      <c r="C16" s="3" t="s">
        <v>7</v>
      </c>
      <c r="D16" s="3">
        <v>1</v>
      </c>
      <c r="E16" s="3" t="s">
        <v>39</v>
      </c>
      <c r="F16" s="3">
        <v>1</v>
      </c>
      <c r="G16" s="3" t="s">
        <v>17</v>
      </c>
      <c r="H16" s="3">
        <v>60</v>
      </c>
      <c r="I16" s="3" t="s">
        <v>52</v>
      </c>
      <c r="J16" s="3" t="s">
        <v>61</v>
      </c>
      <c r="K16" s="3" t="s">
        <v>17</v>
      </c>
      <c r="L16" s="3" t="s">
        <v>47</v>
      </c>
      <c r="M16" s="3">
        <v>4</v>
      </c>
      <c r="N16" s="3">
        <v>20</v>
      </c>
      <c r="O16" s="3">
        <v>79</v>
      </c>
      <c r="P16" s="3" t="s">
        <v>62</v>
      </c>
      <c r="Q16" s="3">
        <v>60</v>
      </c>
      <c r="S16" s="11">
        <f t="shared" si="18"/>
        <v>16112</v>
      </c>
      <c r="T16" s="16">
        <f t="shared" si="0"/>
        <v>5</v>
      </c>
      <c r="U16" s="17">
        <f t="shared" si="1"/>
        <v>169</v>
      </c>
      <c r="V16" s="17">
        <f t="shared" si="2"/>
        <v>1</v>
      </c>
      <c r="W16" s="17">
        <f t="shared" si="3"/>
        <v>141</v>
      </c>
      <c r="X16" s="17">
        <f t="shared" si="4"/>
        <v>1</v>
      </c>
      <c r="Y16" s="17">
        <f t="shared" si="5"/>
        <v>62</v>
      </c>
      <c r="Z16" s="17">
        <f t="shared" si="6"/>
        <v>96</v>
      </c>
      <c r="AA16" s="18">
        <f t="shared" si="7"/>
        <v>205</v>
      </c>
      <c r="AB16" s="25">
        <f t="shared" si="8"/>
        <v>194</v>
      </c>
      <c r="AC16" s="26">
        <f t="shared" si="9"/>
        <v>62</v>
      </c>
      <c r="AD16" s="26">
        <f t="shared" si="10"/>
        <v>208</v>
      </c>
      <c r="AE16" s="26">
        <f t="shared" si="11"/>
        <v>4</v>
      </c>
      <c r="AF16" s="26">
        <f t="shared" si="12"/>
        <v>32</v>
      </c>
      <c r="AG16" s="26">
        <f t="shared" si="13"/>
        <v>121</v>
      </c>
      <c r="AH16" s="26">
        <f t="shared" si="14"/>
        <v>63</v>
      </c>
      <c r="AI16" s="27">
        <f t="shared" si="15"/>
        <v>96</v>
      </c>
      <c r="AJ16" s="31"/>
      <c r="AK16" s="33">
        <f t="shared" si="19"/>
        <v>16112</v>
      </c>
      <c r="AL16" s="17">
        <f t="shared" si="20"/>
        <v>5</v>
      </c>
      <c r="AM16" s="17">
        <f t="shared" si="21"/>
        <v>169</v>
      </c>
      <c r="AN16" s="17">
        <f t="shared" si="22"/>
        <v>1</v>
      </c>
      <c r="AO16" s="17">
        <f t="shared" si="23"/>
        <v>141</v>
      </c>
      <c r="AP16" s="17">
        <f t="shared" si="24"/>
        <v>1</v>
      </c>
      <c r="AQ16" s="17">
        <f t="shared" si="25"/>
        <v>62</v>
      </c>
      <c r="AR16" s="17">
        <f t="shared" si="26"/>
        <v>96</v>
      </c>
      <c r="AS16" s="17">
        <f t="shared" si="27"/>
        <v>205</v>
      </c>
      <c r="AT16" s="34">
        <f t="shared" si="28"/>
        <v>16792</v>
      </c>
      <c r="AU16" s="31"/>
      <c r="AV16">
        <f t="shared" si="43"/>
        <v>1930</v>
      </c>
      <c r="AW16" t="s">
        <v>14</v>
      </c>
      <c r="AX16" s="8" t="str">
        <f t="shared" si="29"/>
        <v>16112,5,169,1,141,1,62,96,205,16792</v>
      </c>
      <c r="AY16" s="31"/>
      <c r="AZ16" s="9" t="str">
        <f t="shared" si="30"/>
        <v>1930 DATA 16112,5,169,1,141,1,62,96,205,16792</v>
      </c>
      <c r="BA16" s="31"/>
      <c r="BB16" s="33">
        <f t="shared" si="31"/>
        <v>16120</v>
      </c>
      <c r="BC16" s="26">
        <f t="shared" si="32"/>
        <v>194</v>
      </c>
      <c r="BD16" s="26">
        <f t="shared" si="33"/>
        <v>62</v>
      </c>
      <c r="BE16" s="26">
        <f t="shared" si="34"/>
        <v>208</v>
      </c>
      <c r="BF16" s="26">
        <f t="shared" si="35"/>
        <v>4</v>
      </c>
      <c r="BG16" s="26">
        <f t="shared" si="36"/>
        <v>32</v>
      </c>
      <c r="BH16" s="26">
        <f t="shared" si="37"/>
        <v>121</v>
      </c>
      <c r="BI16" s="26">
        <f t="shared" si="38"/>
        <v>63</v>
      </c>
      <c r="BJ16" s="26">
        <f t="shared" si="39"/>
        <v>96</v>
      </c>
      <c r="BK16" s="34">
        <f t="shared" si="40"/>
        <v>16900</v>
      </c>
      <c r="BL16" s="31"/>
      <c r="BM16">
        <f t="shared" si="44"/>
        <v>1931</v>
      </c>
      <c r="BN16" t="s">
        <v>14</v>
      </c>
      <c r="BO16" s="8" t="str">
        <f t="shared" si="41"/>
        <v>16120,194,62,208,4,32,121,63,96,16900</v>
      </c>
      <c r="BP16"/>
      <c r="BQ16" s="9" t="str">
        <f t="shared" si="42"/>
        <v>1931 DATA 16120,194,62,208,4,32,121,63,96,16900</v>
      </c>
      <c r="BR16" s="31"/>
      <c r="BS16" s="31"/>
      <c r="BT16" s="9" t="s">
        <v>107</v>
      </c>
    </row>
    <row r="17" spans="1:72">
      <c r="A17" s="1" t="s">
        <v>63</v>
      </c>
      <c r="B17" s="3" t="s">
        <v>52</v>
      </c>
      <c r="C17" s="3" t="s">
        <v>64</v>
      </c>
      <c r="D17" s="3" t="s">
        <v>17</v>
      </c>
      <c r="E17" s="3" t="s">
        <v>47</v>
      </c>
      <c r="F17" s="3">
        <v>4</v>
      </c>
      <c r="G17" s="3">
        <v>20</v>
      </c>
      <c r="H17" s="3">
        <v>87</v>
      </c>
      <c r="I17" s="3" t="s">
        <v>62</v>
      </c>
      <c r="J17" s="3">
        <v>60</v>
      </c>
      <c r="K17" s="3" t="s">
        <v>52</v>
      </c>
      <c r="L17" s="3" t="s">
        <v>65</v>
      </c>
      <c r="M17" s="3" t="s">
        <v>17</v>
      </c>
      <c r="N17" s="3" t="s">
        <v>47</v>
      </c>
      <c r="O17" s="3">
        <v>4</v>
      </c>
      <c r="P17" s="3">
        <v>20</v>
      </c>
      <c r="Q17" s="3" t="s">
        <v>66</v>
      </c>
      <c r="S17" s="11">
        <f t="shared" si="18"/>
        <v>16128</v>
      </c>
      <c r="T17" s="16">
        <f t="shared" si="0"/>
        <v>205</v>
      </c>
      <c r="U17" s="17">
        <f t="shared" si="1"/>
        <v>195</v>
      </c>
      <c r="V17" s="17">
        <f t="shared" si="2"/>
        <v>62</v>
      </c>
      <c r="W17" s="17">
        <f t="shared" si="3"/>
        <v>208</v>
      </c>
      <c r="X17" s="17">
        <f t="shared" si="4"/>
        <v>4</v>
      </c>
      <c r="Y17" s="17">
        <f t="shared" si="5"/>
        <v>32</v>
      </c>
      <c r="Z17" s="17">
        <f t="shared" si="6"/>
        <v>135</v>
      </c>
      <c r="AA17" s="18">
        <f t="shared" si="7"/>
        <v>63</v>
      </c>
      <c r="AB17" s="25">
        <f t="shared" si="8"/>
        <v>96</v>
      </c>
      <c r="AC17" s="26">
        <f t="shared" si="9"/>
        <v>205</v>
      </c>
      <c r="AD17" s="26">
        <f t="shared" si="10"/>
        <v>197</v>
      </c>
      <c r="AE17" s="26">
        <f t="shared" si="11"/>
        <v>62</v>
      </c>
      <c r="AF17" s="26">
        <f t="shared" si="12"/>
        <v>208</v>
      </c>
      <c r="AG17" s="26">
        <f t="shared" si="13"/>
        <v>4</v>
      </c>
      <c r="AH17" s="26">
        <f t="shared" si="14"/>
        <v>32</v>
      </c>
      <c r="AI17" s="27">
        <f t="shared" si="15"/>
        <v>221</v>
      </c>
      <c r="AJ17" s="31"/>
      <c r="AK17" s="33">
        <f t="shared" si="19"/>
        <v>16128</v>
      </c>
      <c r="AL17" s="17">
        <f t="shared" si="20"/>
        <v>205</v>
      </c>
      <c r="AM17" s="17">
        <f t="shared" si="21"/>
        <v>195</v>
      </c>
      <c r="AN17" s="17">
        <f t="shared" si="22"/>
        <v>62</v>
      </c>
      <c r="AO17" s="17">
        <f t="shared" si="23"/>
        <v>208</v>
      </c>
      <c r="AP17" s="17">
        <f t="shared" si="24"/>
        <v>4</v>
      </c>
      <c r="AQ17" s="17">
        <f t="shared" si="25"/>
        <v>32</v>
      </c>
      <c r="AR17" s="17">
        <f t="shared" si="26"/>
        <v>135</v>
      </c>
      <c r="AS17" s="17">
        <f t="shared" si="27"/>
        <v>63</v>
      </c>
      <c r="AT17" s="34">
        <f t="shared" si="28"/>
        <v>17032</v>
      </c>
      <c r="AU17" s="31"/>
      <c r="AV17">
        <f t="shared" si="43"/>
        <v>1932</v>
      </c>
      <c r="AW17" t="s">
        <v>14</v>
      </c>
      <c r="AX17" s="8" t="str">
        <f t="shared" si="29"/>
        <v>16128,205,195,62,208,4,32,135,63,17032</v>
      </c>
      <c r="AY17" s="31"/>
      <c r="AZ17" s="9" t="str">
        <f t="shared" si="30"/>
        <v>1932 DATA 16128,205,195,62,208,4,32,135,63,17032</v>
      </c>
      <c r="BA17" s="31"/>
      <c r="BB17" s="33">
        <f t="shared" si="31"/>
        <v>16136</v>
      </c>
      <c r="BC17" s="26">
        <f t="shared" si="32"/>
        <v>96</v>
      </c>
      <c r="BD17" s="26">
        <f t="shared" si="33"/>
        <v>205</v>
      </c>
      <c r="BE17" s="26">
        <f t="shared" si="34"/>
        <v>197</v>
      </c>
      <c r="BF17" s="26">
        <f t="shared" si="35"/>
        <v>62</v>
      </c>
      <c r="BG17" s="26">
        <f t="shared" si="36"/>
        <v>208</v>
      </c>
      <c r="BH17" s="26">
        <f t="shared" si="37"/>
        <v>4</v>
      </c>
      <c r="BI17" s="26">
        <f t="shared" si="38"/>
        <v>32</v>
      </c>
      <c r="BJ17" s="26">
        <f t="shared" si="39"/>
        <v>221</v>
      </c>
      <c r="BK17" s="34">
        <f t="shared" si="40"/>
        <v>17161</v>
      </c>
      <c r="BL17" s="31"/>
      <c r="BM17">
        <f t="shared" si="44"/>
        <v>1933</v>
      </c>
      <c r="BN17" t="s">
        <v>14</v>
      </c>
      <c r="BO17" s="8" t="str">
        <f t="shared" si="41"/>
        <v>16136,96,205,197,62,208,4,32,221,17161</v>
      </c>
      <c r="BP17"/>
      <c r="BQ17" s="9" t="str">
        <f t="shared" si="42"/>
        <v>1933 DATA 16136,96,205,197,62,208,4,32,221,17161</v>
      </c>
      <c r="BR17" s="31"/>
      <c r="BS17" s="31"/>
      <c r="BT17" s="9" t="s">
        <v>108</v>
      </c>
    </row>
    <row r="18" spans="1:72">
      <c r="A18" s="1" t="s">
        <v>67</v>
      </c>
      <c r="B18" s="3" t="s">
        <v>62</v>
      </c>
      <c r="C18" s="3">
        <v>60</v>
      </c>
      <c r="D18" s="3" t="s">
        <v>52</v>
      </c>
      <c r="E18" s="3" t="s">
        <v>26</v>
      </c>
      <c r="F18" s="3" t="s">
        <v>17</v>
      </c>
      <c r="G18" s="3" t="s">
        <v>47</v>
      </c>
      <c r="H18" s="3">
        <v>4</v>
      </c>
      <c r="I18" s="3">
        <v>20</v>
      </c>
      <c r="J18" s="3" t="s">
        <v>65</v>
      </c>
      <c r="K18" s="3" t="s">
        <v>62</v>
      </c>
      <c r="L18" s="3">
        <v>60</v>
      </c>
      <c r="M18" s="3" t="s">
        <v>52</v>
      </c>
      <c r="N18" s="3" t="s">
        <v>68</v>
      </c>
      <c r="O18" s="3" t="s">
        <v>17</v>
      </c>
      <c r="P18" s="3" t="s">
        <v>47</v>
      </c>
      <c r="Q18" s="3">
        <v>4</v>
      </c>
      <c r="S18" s="11">
        <f t="shared" si="18"/>
        <v>16144</v>
      </c>
      <c r="T18" s="16">
        <f t="shared" si="0"/>
        <v>63</v>
      </c>
      <c r="U18" s="17">
        <f t="shared" si="1"/>
        <v>96</v>
      </c>
      <c r="V18" s="17">
        <f t="shared" si="2"/>
        <v>205</v>
      </c>
      <c r="W18" s="17">
        <f t="shared" si="3"/>
        <v>196</v>
      </c>
      <c r="X18" s="17">
        <f t="shared" si="4"/>
        <v>62</v>
      </c>
      <c r="Y18" s="17">
        <f t="shared" si="5"/>
        <v>208</v>
      </c>
      <c r="Z18" s="17">
        <f t="shared" si="6"/>
        <v>4</v>
      </c>
      <c r="AA18" s="18">
        <f t="shared" si="7"/>
        <v>32</v>
      </c>
      <c r="AB18" s="25">
        <f t="shared" si="8"/>
        <v>197</v>
      </c>
      <c r="AC18" s="26">
        <f t="shared" si="9"/>
        <v>63</v>
      </c>
      <c r="AD18" s="26">
        <f t="shared" si="10"/>
        <v>96</v>
      </c>
      <c r="AE18" s="26">
        <f t="shared" si="11"/>
        <v>205</v>
      </c>
      <c r="AF18" s="26">
        <f t="shared" si="12"/>
        <v>192</v>
      </c>
      <c r="AG18" s="26">
        <f t="shared" si="13"/>
        <v>62</v>
      </c>
      <c r="AH18" s="26">
        <f t="shared" si="14"/>
        <v>208</v>
      </c>
      <c r="AI18" s="27">
        <f t="shared" si="15"/>
        <v>4</v>
      </c>
      <c r="AJ18" s="31"/>
      <c r="AK18" s="33">
        <f t="shared" si="19"/>
        <v>16144</v>
      </c>
      <c r="AL18" s="17">
        <f t="shared" si="20"/>
        <v>63</v>
      </c>
      <c r="AM18" s="17">
        <f t="shared" si="21"/>
        <v>96</v>
      </c>
      <c r="AN18" s="17">
        <f t="shared" si="22"/>
        <v>205</v>
      </c>
      <c r="AO18" s="17">
        <f t="shared" si="23"/>
        <v>196</v>
      </c>
      <c r="AP18" s="17">
        <f t="shared" si="24"/>
        <v>62</v>
      </c>
      <c r="AQ18" s="17">
        <f t="shared" si="25"/>
        <v>208</v>
      </c>
      <c r="AR18" s="17">
        <f t="shared" si="26"/>
        <v>4</v>
      </c>
      <c r="AS18" s="17">
        <f t="shared" si="27"/>
        <v>32</v>
      </c>
      <c r="AT18" s="34">
        <f t="shared" si="28"/>
        <v>17010</v>
      </c>
      <c r="AU18" s="31"/>
      <c r="AV18">
        <f t="shared" si="43"/>
        <v>1934</v>
      </c>
      <c r="AW18" t="s">
        <v>14</v>
      </c>
      <c r="AX18" s="8" t="str">
        <f t="shared" si="29"/>
        <v>16144,63,96,205,196,62,208,4,32,17010</v>
      </c>
      <c r="AY18" s="31"/>
      <c r="AZ18" s="9" t="str">
        <f t="shared" si="30"/>
        <v>1934 DATA 16144,63,96,205,196,62,208,4,32,17010</v>
      </c>
      <c r="BA18" s="31"/>
      <c r="BB18" s="33">
        <f t="shared" si="31"/>
        <v>16152</v>
      </c>
      <c r="BC18" s="26">
        <f t="shared" si="32"/>
        <v>197</v>
      </c>
      <c r="BD18" s="26">
        <f t="shared" si="33"/>
        <v>63</v>
      </c>
      <c r="BE18" s="26">
        <f t="shared" si="34"/>
        <v>96</v>
      </c>
      <c r="BF18" s="26">
        <f t="shared" si="35"/>
        <v>205</v>
      </c>
      <c r="BG18" s="26">
        <f t="shared" si="36"/>
        <v>192</v>
      </c>
      <c r="BH18" s="26">
        <f t="shared" si="37"/>
        <v>62</v>
      </c>
      <c r="BI18" s="26">
        <f t="shared" si="38"/>
        <v>208</v>
      </c>
      <c r="BJ18" s="26">
        <f t="shared" si="39"/>
        <v>4</v>
      </c>
      <c r="BK18" s="34">
        <f t="shared" si="40"/>
        <v>17179</v>
      </c>
      <c r="BL18" s="31"/>
      <c r="BM18">
        <f t="shared" si="44"/>
        <v>1935</v>
      </c>
      <c r="BN18" t="s">
        <v>14</v>
      </c>
      <c r="BO18" s="8" t="str">
        <f t="shared" si="41"/>
        <v>16152,197,63,96,205,192,62,208,4,17179</v>
      </c>
      <c r="BP18"/>
      <c r="BQ18" s="9" t="str">
        <f t="shared" si="42"/>
        <v>1935 DATA 16152,197,63,96,205,192,62,208,4,17179</v>
      </c>
      <c r="BR18" s="31"/>
      <c r="BS18" s="31"/>
      <c r="BT18" s="9" t="s">
        <v>109</v>
      </c>
    </row>
    <row r="19" spans="1:72">
      <c r="A19" s="1" t="s">
        <v>69</v>
      </c>
      <c r="B19" s="3">
        <v>20</v>
      </c>
      <c r="C19" s="3" t="s">
        <v>70</v>
      </c>
      <c r="D19" s="3" t="s">
        <v>62</v>
      </c>
      <c r="E19" s="3">
        <v>60</v>
      </c>
      <c r="F19" s="3" t="s">
        <v>28</v>
      </c>
      <c r="G19" s="3">
        <v>1</v>
      </c>
      <c r="H19" s="3" t="s">
        <v>17</v>
      </c>
      <c r="I19" s="3" t="s">
        <v>71</v>
      </c>
      <c r="J19" s="3">
        <v>4</v>
      </c>
      <c r="K19" s="3">
        <v>20</v>
      </c>
      <c r="L19" s="3">
        <v>34</v>
      </c>
      <c r="M19" s="3" t="s">
        <v>62</v>
      </c>
      <c r="N19" s="3">
        <v>60</v>
      </c>
      <c r="O19" s="3">
        <v>20</v>
      </c>
      <c r="P19" s="3" t="s">
        <v>72</v>
      </c>
      <c r="Q19" s="3">
        <v>33</v>
      </c>
      <c r="S19" s="11">
        <f t="shared" si="18"/>
        <v>16160</v>
      </c>
      <c r="T19" s="16">
        <f t="shared" si="0"/>
        <v>32</v>
      </c>
      <c r="U19" s="17">
        <f t="shared" si="1"/>
        <v>180</v>
      </c>
      <c r="V19" s="17">
        <f t="shared" si="2"/>
        <v>63</v>
      </c>
      <c r="W19" s="17">
        <f t="shared" si="3"/>
        <v>96</v>
      </c>
      <c r="X19" s="17">
        <f t="shared" si="4"/>
        <v>174</v>
      </c>
      <c r="Y19" s="17">
        <f t="shared" si="5"/>
        <v>1</v>
      </c>
      <c r="Z19" s="17">
        <f t="shared" si="6"/>
        <v>62</v>
      </c>
      <c r="AA19" s="18">
        <f t="shared" si="7"/>
        <v>240</v>
      </c>
      <c r="AB19" s="25">
        <f t="shared" si="8"/>
        <v>4</v>
      </c>
      <c r="AC19" s="26">
        <f t="shared" si="9"/>
        <v>32</v>
      </c>
      <c r="AD19" s="26">
        <f t="shared" si="10"/>
        <v>52</v>
      </c>
      <c r="AE19" s="26">
        <f t="shared" si="11"/>
        <v>63</v>
      </c>
      <c r="AF19" s="26">
        <f t="shared" si="12"/>
        <v>96</v>
      </c>
      <c r="AG19" s="26">
        <f t="shared" si="13"/>
        <v>32</v>
      </c>
      <c r="AH19" s="26">
        <f t="shared" si="14"/>
        <v>45</v>
      </c>
      <c r="AI19" s="27">
        <f t="shared" si="15"/>
        <v>51</v>
      </c>
      <c r="AJ19" s="31"/>
      <c r="AK19" s="33">
        <f t="shared" si="19"/>
        <v>16160</v>
      </c>
      <c r="AL19" s="17">
        <f t="shared" si="20"/>
        <v>32</v>
      </c>
      <c r="AM19" s="17">
        <f t="shared" si="21"/>
        <v>180</v>
      </c>
      <c r="AN19" s="17">
        <f t="shared" si="22"/>
        <v>63</v>
      </c>
      <c r="AO19" s="17">
        <f t="shared" si="23"/>
        <v>96</v>
      </c>
      <c r="AP19" s="17">
        <f t="shared" si="24"/>
        <v>174</v>
      </c>
      <c r="AQ19" s="17">
        <f t="shared" si="25"/>
        <v>1</v>
      </c>
      <c r="AR19" s="17">
        <f t="shared" si="26"/>
        <v>62</v>
      </c>
      <c r="AS19" s="17">
        <f t="shared" si="27"/>
        <v>240</v>
      </c>
      <c r="AT19" s="34">
        <f t="shared" si="28"/>
        <v>17008</v>
      </c>
      <c r="AU19" s="31"/>
      <c r="AV19">
        <f t="shared" si="43"/>
        <v>1936</v>
      </c>
      <c r="AW19" t="s">
        <v>14</v>
      </c>
      <c r="AX19" s="8" t="str">
        <f t="shared" si="29"/>
        <v>16160,32,180,63,96,174,1,62,240,17008</v>
      </c>
      <c r="AY19" s="31"/>
      <c r="AZ19" s="9" t="str">
        <f t="shared" si="30"/>
        <v>1936 DATA 16160,32,180,63,96,174,1,62,240,17008</v>
      </c>
      <c r="BA19" s="31"/>
      <c r="BB19" s="33">
        <f t="shared" si="31"/>
        <v>16168</v>
      </c>
      <c r="BC19" s="26">
        <f t="shared" si="32"/>
        <v>4</v>
      </c>
      <c r="BD19" s="26">
        <f t="shared" si="33"/>
        <v>32</v>
      </c>
      <c r="BE19" s="26">
        <f t="shared" si="34"/>
        <v>52</v>
      </c>
      <c r="BF19" s="26">
        <f t="shared" si="35"/>
        <v>63</v>
      </c>
      <c r="BG19" s="26">
        <f t="shared" si="36"/>
        <v>96</v>
      </c>
      <c r="BH19" s="26">
        <f t="shared" si="37"/>
        <v>32</v>
      </c>
      <c r="BI19" s="26">
        <f t="shared" si="38"/>
        <v>45</v>
      </c>
      <c r="BJ19" s="26">
        <f t="shared" si="39"/>
        <v>51</v>
      </c>
      <c r="BK19" s="34">
        <f t="shared" si="40"/>
        <v>16543</v>
      </c>
      <c r="BL19" s="31"/>
      <c r="BM19">
        <f t="shared" si="44"/>
        <v>1937</v>
      </c>
      <c r="BN19" t="s">
        <v>14</v>
      </c>
      <c r="BO19" s="8" t="str">
        <f t="shared" si="41"/>
        <v>16168,4,32,52,63,96,32,45,51,16543</v>
      </c>
      <c r="BP19"/>
      <c r="BQ19" s="9" t="str">
        <f t="shared" si="42"/>
        <v>1937 DATA 16168,4,32,52,63,96,32,45,51,16543</v>
      </c>
      <c r="BR19" s="31"/>
      <c r="BS19" s="31"/>
      <c r="BT19" s="9" t="s">
        <v>110</v>
      </c>
    </row>
    <row r="20" spans="1:72">
      <c r="A20" s="1" t="s">
        <v>73</v>
      </c>
      <c r="B20" s="3">
        <v>20</v>
      </c>
      <c r="C20" s="3" t="s">
        <v>74</v>
      </c>
      <c r="D20" s="3">
        <v>37</v>
      </c>
      <c r="E20" s="3">
        <v>60</v>
      </c>
      <c r="F20" s="3">
        <v>48</v>
      </c>
      <c r="G20" s="3">
        <v>20</v>
      </c>
      <c r="H20" s="3">
        <v>12</v>
      </c>
      <c r="I20" s="3">
        <v>35</v>
      </c>
      <c r="J20" s="3" t="s">
        <v>34</v>
      </c>
      <c r="K20" s="3">
        <v>53</v>
      </c>
      <c r="L20" s="3">
        <v>35</v>
      </c>
      <c r="M20" s="3">
        <v>48</v>
      </c>
      <c r="N20" s="3" t="s">
        <v>34</v>
      </c>
      <c r="O20" s="3">
        <v>52</v>
      </c>
      <c r="P20" s="3">
        <v>35</v>
      </c>
      <c r="Q20" s="3">
        <v>48</v>
      </c>
      <c r="S20" s="11">
        <f t="shared" si="18"/>
        <v>16176</v>
      </c>
      <c r="T20" s="16">
        <f t="shared" si="0"/>
        <v>32</v>
      </c>
      <c r="U20" s="17">
        <f t="shared" si="1"/>
        <v>125</v>
      </c>
      <c r="V20" s="17">
        <f t="shared" si="2"/>
        <v>55</v>
      </c>
      <c r="W20" s="17">
        <f t="shared" si="3"/>
        <v>96</v>
      </c>
      <c r="X20" s="17">
        <f t="shared" si="4"/>
        <v>72</v>
      </c>
      <c r="Y20" s="17">
        <f t="shared" si="5"/>
        <v>32</v>
      </c>
      <c r="Z20" s="17">
        <f t="shared" si="6"/>
        <v>18</v>
      </c>
      <c r="AA20" s="18">
        <f t="shared" si="7"/>
        <v>53</v>
      </c>
      <c r="AB20" s="25">
        <f t="shared" si="8"/>
        <v>173</v>
      </c>
      <c r="AC20" s="26">
        <f t="shared" si="9"/>
        <v>83</v>
      </c>
      <c r="AD20" s="26">
        <f t="shared" si="10"/>
        <v>53</v>
      </c>
      <c r="AE20" s="26">
        <f t="shared" si="11"/>
        <v>72</v>
      </c>
      <c r="AF20" s="26">
        <f t="shared" si="12"/>
        <v>173</v>
      </c>
      <c r="AG20" s="26">
        <f t="shared" si="13"/>
        <v>82</v>
      </c>
      <c r="AH20" s="26">
        <f t="shared" si="14"/>
        <v>53</v>
      </c>
      <c r="AI20" s="27">
        <f t="shared" si="15"/>
        <v>72</v>
      </c>
      <c r="AJ20" s="31"/>
      <c r="AK20" s="33">
        <f t="shared" si="19"/>
        <v>16176</v>
      </c>
      <c r="AL20" s="17">
        <f t="shared" si="20"/>
        <v>32</v>
      </c>
      <c r="AM20" s="17">
        <f t="shared" si="21"/>
        <v>125</v>
      </c>
      <c r="AN20" s="17">
        <f t="shared" si="22"/>
        <v>55</v>
      </c>
      <c r="AO20" s="17">
        <f t="shared" si="23"/>
        <v>96</v>
      </c>
      <c r="AP20" s="17">
        <f t="shared" si="24"/>
        <v>72</v>
      </c>
      <c r="AQ20" s="17">
        <f t="shared" si="25"/>
        <v>32</v>
      </c>
      <c r="AR20" s="17">
        <f t="shared" si="26"/>
        <v>18</v>
      </c>
      <c r="AS20" s="17">
        <f t="shared" si="27"/>
        <v>53</v>
      </c>
      <c r="AT20" s="34">
        <f t="shared" si="28"/>
        <v>16659</v>
      </c>
      <c r="AU20" s="31"/>
      <c r="AV20">
        <f t="shared" si="43"/>
        <v>1938</v>
      </c>
      <c r="AW20" t="s">
        <v>14</v>
      </c>
      <c r="AX20" s="8" t="str">
        <f t="shared" si="29"/>
        <v>16176,32,125,55,96,72,32,18,53,16659</v>
      </c>
      <c r="AY20" s="31"/>
      <c r="AZ20" s="9" t="str">
        <f t="shared" si="30"/>
        <v>1938 DATA 16176,32,125,55,96,72,32,18,53,16659</v>
      </c>
      <c r="BA20" s="31"/>
      <c r="BB20" s="33">
        <f t="shared" si="31"/>
        <v>16184</v>
      </c>
      <c r="BC20" s="26">
        <f t="shared" si="32"/>
        <v>173</v>
      </c>
      <c r="BD20" s="26">
        <f t="shared" si="33"/>
        <v>83</v>
      </c>
      <c r="BE20" s="26">
        <f t="shared" si="34"/>
        <v>53</v>
      </c>
      <c r="BF20" s="26">
        <f t="shared" si="35"/>
        <v>72</v>
      </c>
      <c r="BG20" s="26">
        <f t="shared" si="36"/>
        <v>173</v>
      </c>
      <c r="BH20" s="26">
        <f t="shared" si="37"/>
        <v>82</v>
      </c>
      <c r="BI20" s="26">
        <f t="shared" si="38"/>
        <v>53</v>
      </c>
      <c r="BJ20" s="26">
        <f t="shared" si="39"/>
        <v>72</v>
      </c>
      <c r="BK20" s="34">
        <f t="shared" si="40"/>
        <v>16945</v>
      </c>
      <c r="BL20" s="31"/>
      <c r="BM20">
        <f t="shared" si="44"/>
        <v>1939</v>
      </c>
      <c r="BN20" t="s">
        <v>14</v>
      </c>
      <c r="BO20" s="8" t="str">
        <f t="shared" si="41"/>
        <v>16184,173,83,53,72,173,82,53,72,16945</v>
      </c>
      <c r="BP20"/>
      <c r="BQ20" s="9" t="str">
        <f t="shared" si="42"/>
        <v>1939 DATA 16184,173,83,53,72,173,82,53,72,16945</v>
      </c>
      <c r="BR20" s="31"/>
      <c r="BS20" s="31"/>
      <c r="BT20" s="9" t="s">
        <v>111</v>
      </c>
    </row>
    <row r="21" spans="1:72">
      <c r="A21" s="1" t="s">
        <v>75</v>
      </c>
      <c r="B21" s="3" t="s">
        <v>34</v>
      </c>
      <c r="C21" s="3">
        <v>55</v>
      </c>
      <c r="D21" s="3">
        <v>35</v>
      </c>
      <c r="E21" s="3">
        <v>48</v>
      </c>
      <c r="F21" s="3" t="s">
        <v>34</v>
      </c>
      <c r="G21" s="3">
        <v>54</v>
      </c>
      <c r="H21" s="3">
        <v>35</v>
      </c>
      <c r="I21" s="3">
        <v>48</v>
      </c>
      <c r="J21" s="3">
        <v>20</v>
      </c>
      <c r="K21" s="3">
        <v>61</v>
      </c>
      <c r="L21" s="3">
        <v>36</v>
      </c>
      <c r="M21" s="3">
        <v>20</v>
      </c>
      <c r="N21" s="3" t="s">
        <v>74</v>
      </c>
      <c r="O21" s="3">
        <v>37</v>
      </c>
      <c r="P21" s="3">
        <v>30</v>
      </c>
      <c r="Q21" s="3">
        <v>11</v>
      </c>
      <c r="S21" s="11">
        <f t="shared" si="18"/>
        <v>16192</v>
      </c>
      <c r="T21" s="16">
        <f t="shared" si="0"/>
        <v>173</v>
      </c>
      <c r="U21" s="17">
        <f t="shared" si="1"/>
        <v>85</v>
      </c>
      <c r="V21" s="17">
        <f t="shared" si="2"/>
        <v>53</v>
      </c>
      <c r="W21" s="17">
        <f t="shared" si="3"/>
        <v>72</v>
      </c>
      <c r="X21" s="17">
        <f t="shared" si="4"/>
        <v>173</v>
      </c>
      <c r="Y21" s="17">
        <f t="shared" si="5"/>
        <v>84</v>
      </c>
      <c r="Z21" s="17">
        <f t="shared" si="6"/>
        <v>53</v>
      </c>
      <c r="AA21" s="18">
        <f t="shared" si="7"/>
        <v>72</v>
      </c>
      <c r="AB21" s="25">
        <f t="shared" si="8"/>
        <v>32</v>
      </c>
      <c r="AC21" s="26">
        <f t="shared" si="9"/>
        <v>97</v>
      </c>
      <c r="AD21" s="26">
        <f t="shared" si="10"/>
        <v>54</v>
      </c>
      <c r="AE21" s="26">
        <f t="shared" si="11"/>
        <v>32</v>
      </c>
      <c r="AF21" s="26">
        <f t="shared" si="12"/>
        <v>125</v>
      </c>
      <c r="AG21" s="26">
        <f t="shared" si="13"/>
        <v>55</v>
      </c>
      <c r="AH21" s="26">
        <f t="shared" si="14"/>
        <v>48</v>
      </c>
      <c r="AI21" s="27">
        <f t="shared" si="15"/>
        <v>17</v>
      </c>
      <c r="AJ21" s="31"/>
      <c r="AK21" s="33">
        <f t="shared" si="19"/>
        <v>16192</v>
      </c>
      <c r="AL21" s="17">
        <f t="shared" si="20"/>
        <v>173</v>
      </c>
      <c r="AM21" s="17">
        <f t="shared" si="21"/>
        <v>85</v>
      </c>
      <c r="AN21" s="17">
        <f t="shared" si="22"/>
        <v>53</v>
      </c>
      <c r="AO21" s="17">
        <f t="shared" si="23"/>
        <v>72</v>
      </c>
      <c r="AP21" s="17">
        <f t="shared" si="24"/>
        <v>173</v>
      </c>
      <c r="AQ21" s="17">
        <f t="shared" si="25"/>
        <v>84</v>
      </c>
      <c r="AR21" s="17">
        <f t="shared" si="26"/>
        <v>53</v>
      </c>
      <c r="AS21" s="17">
        <f t="shared" si="27"/>
        <v>72</v>
      </c>
      <c r="AT21" s="34">
        <f t="shared" si="28"/>
        <v>16957</v>
      </c>
      <c r="AU21" s="31"/>
      <c r="AV21">
        <f t="shared" si="43"/>
        <v>1940</v>
      </c>
      <c r="AW21" t="s">
        <v>14</v>
      </c>
      <c r="AX21" s="8" t="str">
        <f t="shared" si="29"/>
        <v>16192,173,85,53,72,173,84,53,72,16957</v>
      </c>
      <c r="AY21" s="31"/>
      <c r="AZ21" s="9" t="str">
        <f t="shared" si="30"/>
        <v>1940 DATA 16192,173,85,53,72,173,84,53,72,16957</v>
      </c>
      <c r="BA21" s="31"/>
      <c r="BB21" s="33">
        <f t="shared" si="31"/>
        <v>16200</v>
      </c>
      <c r="BC21" s="26">
        <f t="shared" si="32"/>
        <v>32</v>
      </c>
      <c r="BD21" s="26">
        <f t="shared" si="33"/>
        <v>97</v>
      </c>
      <c r="BE21" s="26">
        <f t="shared" si="34"/>
        <v>54</v>
      </c>
      <c r="BF21" s="26">
        <f t="shared" si="35"/>
        <v>32</v>
      </c>
      <c r="BG21" s="26">
        <f t="shared" si="36"/>
        <v>125</v>
      </c>
      <c r="BH21" s="26">
        <f t="shared" si="37"/>
        <v>55</v>
      </c>
      <c r="BI21" s="26">
        <f t="shared" si="38"/>
        <v>48</v>
      </c>
      <c r="BJ21" s="26">
        <f t="shared" si="39"/>
        <v>17</v>
      </c>
      <c r="BK21" s="34">
        <f t="shared" si="40"/>
        <v>16660</v>
      </c>
      <c r="BL21" s="31"/>
      <c r="BM21">
        <f t="shared" si="44"/>
        <v>1941</v>
      </c>
      <c r="BN21" t="s">
        <v>14</v>
      </c>
      <c r="BO21" s="8" t="str">
        <f t="shared" si="41"/>
        <v>16200,32,97,54,32,125,55,48,17,16660</v>
      </c>
      <c r="BP21"/>
      <c r="BQ21" s="9" t="str">
        <f t="shared" si="42"/>
        <v>1941 DATA 16200,32,97,54,32,125,55,48,17,16660</v>
      </c>
      <c r="BR21" s="31"/>
      <c r="BS21" s="31"/>
      <c r="BT21" s="9" t="s">
        <v>112</v>
      </c>
    </row>
    <row r="22" spans="1:72">
      <c r="A22" s="1" t="s">
        <v>76</v>
      </c>
      <c r="B22" s="3">
        <v>20</v>
      </c>
      <c r="C22" s="3" t="s">
        <v>77</v>
      </c>
      <c r="D22" s="3">
        <v>38</v>
      </c>
      <c r="E22" s="3" t="s">
        <v>34</v>
      </c>
      <c r="F22" s="3">
        <v>54</v>
      </c>
      <c r="G22" s="3">
        <v>35</v>
      </c>
      <c r="H22" s="3" t="s">
        <v>47</v>
      </c>
      <c r="I22" s="3">
        <v>3</v>
      </c>
      <c r="J22" s="3" t="s">
        <v>41</v>
      </c>
      <c r="K22" s="3">
        <v>55</v>
      </c>
      <c r="L22" s="3">
        <v>35</v>
      </c>
      <c r="M22" s="3" t="s">
        <v>41</v>
      </c>
      <c r="N22" s="3">
        <v>54</v>
      </c>
      <c r="O22" s="3">
        <v>35</v>
      </c>
      <c r="P22" s="3">
        <v>20</v>
      </c>
      <c r="Q22" s="3" t="s">
        <v>78</v>
      </c>
      <c r="S22" s="11">
        <f t="shared" si="18"/>
        <v>16208</v>
      </c>
      <c r="T22" s="16">
        <f t="shared" si="0"/>
        <v>32</v>
      </c>
      <c r="U22" s="17">
        <f t="shared" si="1"/>
        <v>226</v>
      </c>
      <c r="V22" s="17">
        <f t="shared" si="2"/>
        <v>56</v>
      </c>
      <c r="W22" s="17">
        <f t="shared" si="3"/>
        <v>173</v>
      </c>
      <c r="X22" s="17">
        <f t="shared" si="4"/>
        <v>84</v>
      </c>
      <c r="Y22" s="17">
        <f t="shared" si="5"/>
        <v>53</v>
      </c>
      <c r="Z22" s="17">
        <f t="shared" si="6"/>
        <v>208</v>
      </c>
      <c r="AA22" s="18">
        <f t="shared" si="7"/>
        <v>3</v>
      </c>
      <c r="AB22" s="25">
        <f t="shared" si="8"/>
        <v>206</v>
      </c>
      <c r="AC22" s="26">
        <f t="shared" si="9"/>
        <v>85</v>
      </c>
      <c r="AD22" s="26">
        <f t="shared" si="10"/>
        <v>53</v>
      </c>
      <c r="AE22" s="26">
        <f t="shared" si="11"/>
        <v>206</v>
      </c>
      <c r="AF22" s="26">
        <f t="shared" si="12"/>
        <v>84</v>
      </c>
      <c r="AG22" s="26">
        <f t="shared" si="13"/>
        <v>53</v>
      </c>
      <c r="AH22" s="26">
        <f t="shared" si="14"/>
        <v>32</v>
      </c>
      <c r="AI22" s="27">
        <f t="shared" si="15"/>
        <v>214</v>
      </c>
      <c r="AJ22" s="31"/>
      <c r="AK22" s="33">
        <f t="shared" si="19"/>
        <v>16208</v>
      </c>
      <c r="AL22" s="17">
        <f t="shared" si="20"/>
        <v>32</v>
      </c>
      <c r="AM22" s="17">
        <f t="shared" si="21"/>
        <v>226</v>
      </c>
      <c r="AN22" s="17">
        <f t="shared" si="22"/>
        <v>56</v>
      </c>
      <c r="AO22" s="17">
        <f t="shared" si="23"/>
        <v>173</v>
      </c>
      <c r="AP22" s="17">
        <f t="shared" si="24"/>
        <v>84</v>
      </c>
      <c r="AQ22" s="17">
        <f t="shared" si="25"/>
        <v>53</v>
      </c>
      <c r="AR22" s="17">
        <f t="shared" si="26"/>
        <v>208</v>
      </c>
      <c r="AS22" s="17">
        <f t="shared" si="27"/>
        <v>3</v>
      </c>
      <c r="AT22" s="34">
        <f t="shared" si="28"/>
        <v>17043</v>
      </c>
      <c r="AU22" s="31"/>
      <c r="AV22">
        <f t="shared" si="43"/>
        <v>1942</v>
      </c>
      <c r="AW22" t="s">
        <v>14</v>
      </c>
      <c r="AX22" s="8" t="str">
        <f t="shared" si="29"/>
        <v>16208,32,226,56,173,84,53,208,3,17043</v>
      </c>
      <c r="AY22" s="31"/>
      <c r="AZ22" s="9" t="str">
        <f t="shared" si="30"/>
        <v>1942 DATA 16208,32,226,56,173,84,53,208,3,17043</v>
      </c>
      <c r="BA22" s="31"/>
      <c r="BB22" s="33">
        <f t="shared" si="31"/>
        <v>16216</v>
      </c>
      <c r="BC22" s="26">
        <f t="shared" si="32"/>
        <v>206</v>
      </c>
      <c r="BD22" s="26">
        <f t="shared" si="33"/>
        <v>85</v>
      </c>
      <c r="BE22" s="26">
        <f t="shared" si="34"/>
        <v>53</v>
      </c>
      <c r="BF22" s="26">
        <f t="shared" si="35"/>
        <v>206</v>
      </c>
      <c r="BG22" s="26">
        <f t="shared" si="36"/>
        <v>84</v>
      </c>
      <c r="BH22" s="26">
        <f t="shared" si="37"/>
        <v>53</v>
      </c>
      <c r="BI22" s="26">
        <f t="shared" si="38"/>
        <v>32</v>
      </c>
      <c r="BJ22" s="26">
        <f t="shared" si="39"/>
        <v>214</v>
      </c>
      <c r="BK22" s="34">
        <f t="shared" si="40"/>
        <v>17149</v>
      </c>
      <c r="BL22" s="31"/>
      <c r="BM22">
        <f t="shared" si="44"/>
        <v>1943</v>
      </c>
      <c r="BN22" t="s">
        <v>14</v>
      </c>
      <c r="BO22" s="8" t="str">
        <f t="shared" si="41"/>
        <v>16216,206,85,53,206,84,53,32,214,17149</v>
      </c>
      <c r="BP22"/>
      <c r="BQ22" s="9" t="str">
        <f t="shared" si="42"/>
        <v>1943 DATA 16216,206,85,53,206,84,53,32,214,17149</v>
      </c>
      <c r="BR22" s="31"/>
      <c r="BS22" s="31"/>
      <c r="BT22" s="9" t="s">
        <v>113</v>
      </c>
    </row>
    <row r="23" spans="1:72">
      <c r="A23" s="1" t="s">
        <v>79</v>
      </c>
      <c r="B23" s="3">
        <v>37</v>
      </c>
      <c r="C23" s="3">
        <v>68</v>
      </c>
      <c r="D23" s="3" t="s">
        <v>39</v>
      </c>
      <c r="E23" s="3">
        <v>54</v>
      </c>
      <c r="F23" s="3">
        <v>35</v>
      </c>
      <c r="G23" s="3">
        <v>68</v>
      </c>
      <c r="H23" s="3" t="s">
        <v>39</v>
      </c>
      <c r="I23" s="3">
        <v>55</v>
      </c>
      <c r="J23" s="3">
        <v>35</v>
      </c>
      <c r="K23" s="3">
        <v>68</v>
      </c>
      <c r="L23" s="3" t="s">
        <v>39</v>
      </c>
      <c r="M23" s="3">
        <v>52</v>
      </c>
      <c r="N23" s="3">
        <v>35</v>
      </c>
      <c r="O23" s="3">
        <v>68</v>
      </c>
      <c r="P23" s="3" t="s">
        <v>39</v>
      </c>
      <c r="Q23" s="3">
        <v>53</v>
      </c>
      <c r="S23" s="11">
        <f t="shared" si="18"/>
        <v>16224</v>
      </c>
      <c r="T23" s="16">
        <f t="shared" si="0"/>
        <v>55</v>
      </c>
      <c r="U23" s="17">
        <f t="shared" si="1"/>
        <v>104</v>
      </c>
      <c r="V23" s="17">
        <f t="shared" si="2"/>
        <v>141</v>
      </c>
      <c r="W23" s="17">
        <f t="shared" si="3"/>
        <v>84</v>
      </c>
      <c r="X23" s="17">
        <f t="shared" si="4"/>
        <v>53</v>
      </c>
      <c r="Y23" s="17">
        <f t="shared" si="5"/>
        <v>104</v>
      </c>
      <c r="Z23" s="17">
        <f t="shared" si="6"/>
        <v>141</v>
      </c>
      <c r="AA23" s="18">
        <f t="shared" si="7"/>
        <v>85</v>
      </c>
      <c r="AB23" s="25">
        <f t="shared" si="8"/>
        <v>53</v>
      </c>
      <c r="AC23" s="26">
        <f t="shared" si="9"/>
        <v>104</v>
      </c>
      <c r="AD23" s="26">
        <f t="shared" si="10"/>
        <v>141</v>
      </c>
      <c r="AE23" s="26">
        <f t="shared" si="11"/>
        <v>82</v>
      </c>
      <c r="AF23" s="26">
        <f t="shared" si="12"/>
        <v>53</v>
      </c>
      <c r="AG23" s="26">
        <f t="shared" si="13"/>
        <v>104</v>
      </c>
      <c r="AH23" s="26">
        <f t="shared" si="14"/>
        <v>141</v>
      </c>
      <c r="AI23" s="27">
        <f t="shared" si="15"/>
        <v>83</v>
      </c>
      <c r="AJ23" s="31"/>
      <c r="AK23" s="33">
        <f t="shared" si="19"/>
        <v>16224</v>
      </c>
      <c r="AL23" s="17">
        <f t="shared" si="20"/>
        <v>55</v>
      </c>
      <c r="AM23" s="17">
        <f t="shared" si="21"/>
        <v>104</v>
      </c>
      <c r="AN23" s="17">
        <f t="shared" si="22"/>
        <v>141</v>
      </c>
      <c r="AO23" s="17">
        <f t="shared" si="23"/>
        <v>84</v>
      </c>
      <c r="AP23" s="17">
        <f t="shared" si="24"/>
        <v>53</v>
      </c>
      <c r="AQ23" s="17">
        <f t="shared" si="25"/>
        <v>104</v>
      </c>
      <c r="AR23" s="17">
        <f t="shared" si="26"/>
        <v>141</v>
      </c>
      <c r="AS23" s="17">
        <f t="shared" si="27"/>
        <v>85</v>
      </c>
      <c r="AT23" s="34">
        <f t="shared" si="28"/>
        <v>16991</v>
      </c>
      <c r="AU23" s="31"/>
      <c r="AV23">
        <f t="shared" si="43"/>
        <v>1944</v>
      </c>
      <c r="AW23" t="s">
        <v>14</v>
      </c>
      <c r="AX23" s="8" t="str">
        <f t="shared" si="29"/>
        <v>16224,55,104,141,84,53,104,141,85,16991</v>
      </c>
      <c r="AY23" s="31"/>
      <c r="AZ23" s="9" t="str">
        <f t="shared" si="30"/>
        <v>1944 DATA 16224,55,104,141,84,53,104,141,85,16991</v>
      </c>
      <c r="BA23" s="31"/>
      <c r="BB23" s="33">
        <f t="shared" si="31"/>
        <v>16232</v>
      </c>
      <c r="BC23" s="26">
        <f t="shared" si="32"/>
        <v>53</v>
      </c>
      <c r="BD23" s="26">
        <f t="shared" si="33"/>
        <v>104</v>
      </c>
      <c r="BE23" s="26">
        <f t="shared" si="34"/>
        <v>141</v>
      </c>
      <c r="BF23" s="26">
        <f t="shared" si="35"/>
        <v>82</v>
      </c>
      <c r="BG23" s="26">
        <f t="shared" si="36"/>
        <v>53</v>
      </c>
      <c r="BH23" s="26">
        <f t="shared" si="37"/>
        <v>104</v>
      </c>
      <c r="BI23" s="26">
        <f t="shared" si="38"/>
        <v>141</v>
      </c>
      <c r="BJ23" s="26">
        <f t="shared" si="39"/>
        <v>83</v>
      </c>
      <c r="BK23" s="34">
        <f t="shared" si="40"/>
        <v>16993</v>
      </c>
      <c r="BL23" s="31"/>
      <c r="BM23">
        <f t="shared" si="44"/>
        <v>1945</v>
      </c>
      <c r="BN23" t="s">
        <v>14</v>
      </c>
      <c r="BO23" s="8" t="str">
        <f t="shared" si="41"/>
        <v>16232,53,104,141,82,53,104,141,83,16993</v>
      </c>
      <c r="BP23"/>
      <c r="BQ23" s="9" t="str">
        <f t="shared" si="42"/>
        <v>1945 DATA 16232,53,104,141,82,53,104,141,83,16993</v>
      </c>
      <c r="BR23" s="31"/>
      <c r="BS23" s="31"/>
      <c r="BT23" s="9" t="s">
        <v>114</v>
      </c>
    </row>
    <row r="24" spans="1:72">
      <c r="A24" s="1" t="s">
        <v>80</v>
      </c>
      <c r="B24" s="3">
        <v>35</v>
      </c>
      <c r="C24" s="3">
        <v>20</v>
      </c>
      <c r="D24" s="3" t="s">
        <v>27</v>
      </c>
      <c r="E24" s="3">
        <v>35</v>
      </c>
      <c r="F24" s="3">
        <v>68</v>
      </c>
      <c r="G24" s="3">
        <v>20</v>
      </c>
      <c r="H24" s="3" t="s">
        <v>72</v>
      </c>
      <c r="I24" s="3" t="s">
        <v>62</v>
      </c>
      <c r="J24" s="3">
        <v>60</v>
      </c>
      <c r="K24" s="3">
        <v>20</v>
      </c>
      <c r="L24" s="3">
        <v>95</v>
      </c>
      <c r="M24" s="3">
        <v>32</v>
      </c>
      <c r="N24" s="3" t="s">
        <v>46</v>
      </c>
      <c r="O24" s="3" t="s">
        <v>4</v>
      </c>
      <c r="P24" s="3" t="s">
        <v>71</v>
      </c>
      <c r="Q24" s="3">
        <v>4</v>
      </c>
      <c r="S24" s="11">
        <f t="shared" si="18"/>
        <v>16240</v>
      </c>
      <c r="T24" s="16">
        <f t="shared" si="0"/>
        <v>53</v>
      </c>
      <c r="U24" s="17">
        <f t="shared" si="1"/>
        <v>32</v>
      </c>
      <c r="V24" s="17">
        <f t="shared" si="2"/>
        <v>43</v>
      </c>
      <c r="W24" s="17">
        <f t="shared" si="3"/>
        <v>53</v>
      </c>
      <c r="X24" s="17">
        <f t="shared" si="4"/>
        <v>104</v>
      </c>
      <c r="Y24" s="17">
        <f t="shared" si="5"/>
        <v>32</v>
      </c>
      <c r="Z24" s="17">
        <f t="shared" si="6"/>
        <v>45</v>
      </c>
      <c r="AA24" s="18">
        <f t="shared" si="7"/>
        <v>63</v>
      </c>
      <c r="AB24" s="25">
        <f t="shared" si="8"/>
        <v>96</v>
      </c>
      <c r="AC24" s="26">
        <f t="shared" si="9"/>
        <v>32</v>
      </c>
      <c r="AD24" s="26">
        <f t="shared" si="10"/>
        <v>149</v>
      </c>
      <c r="AE24" s="26">
        <f t="shared" si="11"/>
        <v>50</v>
      </c>
      <c r="AF24" s="26">
        <f t="shared" si="12"/>
        <v>201</v>
      </c>
      <c r="AG24" s="26">
        <f t="shared" si="13"/>
        <v>255</v>
      </c>
      <c r="AH24" s="26">
        <f t="shared" si="14"/>
        <v>240</v>
      </c>
      <c r="AI24" s="27">
        <f t="shared" si="15"/>
        <v>4</v>
      </c>
      <c r="AJ24" s="31"/>
      <c r="AK24" s="33">
        <f t="shared" si="19"/>
        <v>16240</v>
      </c>
      <c r="AL24" s="17">
        <f t="shared" si="20"/>
        <v>53</v>
      </c>
      <c r="AM24" s="17">
        <f t="shared" si="21"/>
        <v>32</v>
      </c>
      <c r="AN24" s="17">
        <f t="shared" si="22"/>
        <v>43</v>
      </c>
      <c r="AO24" s="17">
        <f t="shared" si="23"/>
        <v>53</v>
      </c>
      <c r="AP24" s="17">
        <f t="shared" si="24"/>
        <v>104</v>
      </c>
      <c r="AQ24" s="17">
        <f t="shared" si="25"/>
        <v>32</v>
      </c>
      <c r="AR24" s="17">
        <f t="shared" si="26"/>
        <v>45</v>
      </c>
      <c r="AS24" s="17">
        <f t="shared" si="27"/>
        <v>63</v>
      </c>
      <c r="AT24" s="34">
        <f t="shared" si="28"/>
        <v>16665</v>
      </c>
      <c r="AU24" s="31"/>
      <c r="AV24">
        <f t="shared" si="43"/>
        <v>1946</v>
      </c>
      <c r="AW24" t="s">
        <v>14</v>
      </c>
      <c r="AX24" s="8" t="str">
        <f t="shared" si="29"/>
        <v>16240,53,32,43,53,104,32,45,63,16665</v>
      </c>
      <c r="AY24" s="31"/>
      <c r="AZ24" s="9" t="str">
        <f t="shared" si="30"/>
        <v>1946 DATA 16240,53,32,43,53,104,32,45,63,16665</v>
      </c>
      <c r="BA24" s="31"/>
      <c r="BB24" s="33">
        <f t="shared" si="31"/>
        <v>16248</v>
      </c>
      <c r="BC24" s="26">
        <f t="shared" si="32"/>
        <v>96</v>
      </c>
      <c r="BD24" s="26">
        <f t="shared" si="33"/>
        <v>32</v>
      </c>
      <c r="BE24" s="26">
        <f t="shared" si="34"/>
        <v>149</v>
      </c>
      <c r="BF24" s="26">
        <f t="shared" si="35"/>
        <v>50</v>
      </c>
      <c r="BG24" s="26">
        <f t="shared" si="36"/>
        <v>201</v>
      </c>
      <c r="BH24" s="26">
        <f t="shared" si="37"/>
        <v>255</v>
      </c>
      <c r="BI24" s="26">
        <f t="shared" si="38"/>
        <v>240</v>
      </c>
      <c r="BJ24" s="26">
        <f t="shared" si="39"/>
        <v>4</v>
      </c>
      <c r="BK24" s="34">
        <f t="shared" si="40"/>
        <v>17275</v>
      </c>
      <c r="BL24" s="31"/>
      <c r="BM24">
        <f t="shared" si="44"/>
        <v>1947</v>
      </c>
      <c r="BN24" t="s">
        <v>14</v>
      </c>
      <c r="BO24" s="8" t="str">
        <f t="shared" si="41"/>
        <v>16248,96,32,149,50,201,255,240,4,17275</v>
      </c>
      <c r="BP24"/>
      <c r="BQ24" s="9" t="str">
        <f t="shared" si="42"/>
        <v>1947 DATA 16248,96,32,149,50,201,255,240,4,17275</v>
      </c>
      <c r="BR24" s="31"/>
      <c r="BS24" s="31"/>
      <c r="BT24" s="9" t="s">
        <v>115</v>
      </c>
    </row>
    <row r="25" spans="1:72">
      <c r="A25" s="1" t="s">
        <v>81</v>
      </c>
      <c r="B25" s="3">
        <v>20</v>
      </c>
      <c r="C25" s="3" t="s">
        <v>74</v>
      </c>
      <c r="D25" s="3">
        <v>37</v>
      </c>
      <c r="E25" s="3">
        <v>60</v>
      </c>
      <c r="F25" s="3" t="s">
        <v>7</v>
      </c>
      <c r="G25" s="3" t="s">
        <v>4</v>
      </c>
      <c r="H25" s="3">
        <v>60</v>
      </c>
      <c r="I25" s="3">
        <v>38</v>
      </c>
      <c r="J25" s="3" t="s">
        <v>34</v>
      </c>
      <c r="K25" s="3">
        <v>53</v>
      </c>
      <c r="L25" s="3">
        <v>35</v>
      </c>
      <c r="M25" s="3" t="s">
        <v>52</v>
      </c>
      <c r="N25" s="3">
        <v>6</v>
      </c>
      <c r="O25" s="3">
        <v>32</v>
      </c>
      <c r="P25" s="3">
        <v>90</v>
      </c>
      <c r="Q25" s="3" t="s">
        <v>12</v>
      </c>
      <c r="S25" s="11">
        <f t="shared" si="18"/>
        <v>16256</v>
      </c>
      <c r="T25" s="16">
        <f t="shared" si="0"/>
        <v>32</v>
      </c>
      <c r="U25" s="17">
        <f t="shared" si="1"/>
        <v>125</v>
      </c>
      <c r="V25" s="17">
        <f t="shared" si="2"/>
        <v>55</v>
      </c>
      <c r="W25" s="17">
        <f t="shared" si="3"/>
        <v>96</v>
      </c>
      <c r="X25" s="17">
        <f t="shared" si="4"/>
        <v>169</v>
      </c>
      <c r="Y25" s="17">
        <f t="shared" si="5"/>
        <v>255</v>
      </c>
      <c r="Z25" s="17">
        <f t="shared" si="6"/>
        <v>96</v>
      </c>
      <c r="AA25" s="18">
        <f t="shared" si="7"/>
        <v>56</v>
      </c>
      <c r="AB25" s="25">
        <f t="shared" si="8"/>
        <v>173</v>
      </c>
      <c r="AC25" s="26">
        <f t="shared" si="9"/>
        <v>83</v>
      </c>
      <c r="AD25" s="26">
        <f t="shared" si="10"/>
        <v>53</v>
      </c>
      <c r="AE25" s="26">
        <f t="shared" si="11"/>
        <v>205</v>
      </c>
      <c r="AF25" s="26">
        <f t="shared" si="12"/>
        <v>6</v>
      </c>
      <c r="AG25" s="26">
        <f t="shared" si="13"/>
        <v>50</v>
      </c>
      <c r="AH25" s="26">
        <f t="shared" si="14"/>
        <v>144</v>
      </c>
      <c r="AI25" s="27">
        <f t="shared" si="15"/>
        <v>12</v>
      </c>
      <c r="AJ25" s="31"/>
      <c r="AK25" s="33">
        <f t="shared" si="19"/>
        <v>16256</v>
      </c>
      <c r="AL25" s="17">
        <f t="shared" si="20"/>
        <v>32</v>
      </c>
      <c r="AM25" s="17">
        <f t="shared" si="21"/>
        <v>125</v>
      </c>
      <c r="AN25" s="17">
        <f t="shared" si="22"/>
        <v>55</v>
      </c>
      <c r="AO25" s="17">
        <f t="shared" si="23"/>
        <v>96</v>
      </c>
      <c r="AP25" s="17">
        <f t="shared" si="24"/>
        <v>169</v>
      </c>
      <c r="AQ25" s="17">
        <f t="shared" si="25"/>
        <v>255</v>
      </c>
      <c r="AR25" s="17">
        <f t="shared" si="26"/>
        <v>96</v>
      </c>
      <c r="AS25" s="17">
        <f t="shared" si="27"/>
        <v>56</v>
      </c>
      <c r="AT25" s="34">
        <f t="shared" si="28"/>
        <v>17140</v>
      </c>
      <c r="AU25" s="31"/>
      <c r="AV25">
        <f t="shared" si="43"/>
        <v>1948</v>
      </c>
      <c r="AW25" t="s">
        <v>14</v>
      </c>
      <c r="AX25" s="8" t="str">
        <f t="shared" si="29"/>
        <v>16256,32,125,55,96,169,255,96,56,17140</v>
      </c>
      <c r="AY25" s="31"/>
      <c r="AZ25" s="9" t="str">
        <f t="shared" si="30"/>
        <v>1948 DATA 16256,32,125,55,96,169,255,96,56,17140</v>
      </c>
      <c r="BA25" s="31"/>
      <c r="BB25" s="33">
        <f t="shared" si="31"/>
        <v>16264</v>
      </c>
      <c r="BC25" s="26">
        <f t="shared" si="32"/>
        <v>173</v>
      </c>
      <c r="BD25" s="26">
        <f t="shared" si="33"/>
        <v>83</v>
      </c>
      <c r="BE25" s="26">
        <f t="shared" si="34"/>
        <v>53</v>
      </c>
      <c r="BF25" s="26">
        <f t="shared" si="35"/>
        <v>205</v>
      </c>
      <c r="BG25" s="26">
        <f t="shared" si="36"/>
        <v>6</v>
      </c>
      <c r="BH25" s="26">
        <f t="shared" si="37"/>
        <v>50</v>
      </c>
      <c r="BI25" s="26">
        <f t="shared" si="38"/>
        <v>144</v>
      </c>
      <c r="BJ25" s="26">
        <f t="shared" si="39"/>
        <v>12</v>
      </c>
      <c r="BK25" s="34">
        <f t="shared" si="40"/>
        <v>16990</v>
      </c>
      <c r="BL25" s="31"/>
      <c r="BM25">
        <f t="shared" si="44"/>
        <v>1949</v>
      </c>
      <c r="BN25" t="s">
        <v>14</v>
      </c>
      <c r="BO25" s="8" t="str">
        <f t="shared" si="41"/>
        <v>16264,173,83,53,205,6,50,144,12,16990</v>
      </c>
      <c r="BP25"/>
      <c r="BQ25" s="9" t="str">
        <f t="shared" si="42"/>
        <v>1949 DATA 16264,173,83,53,205,6,50,144,12,16990</v>
      </c>
      <c r="BR25" s="31"/>
      <c r="BS25" s="31"/>
      <c r="BT25" s="9" t="s">
        <v>116</v>
      </c>
    </row>
    <row r="26" spans="1:72">
      <c r="A26" s="1" t="s">
        <v>82</v>
      </c>
      <c r="B26" s="3" t="s">
        <v>47</v>
      </c>
      <c r="C26" s="3">
        <v>10</v>
      </c>
      <c r="D26" s="3" t="s">
        <v>34</v>
      </c>
      <c r="E26" s="3">
        <v>52</v>
      </c>
      <c r="F26" s="3">
        <v>35</v>
      </c>
      <c r="G26" s="3" t="s">
        <v>52</v>
      </c>
      <c r="H26" s="3">
        <v>5</v>
      </c>
      <c r="I26" s="3">
        <v>32</v>
      </c>
      <c r="J26" s="3" t="s">
        <v>71</v>
      </c>
      <c r="K26" s="3">
        <v>17</v>
      </c>
      <c r="L26" s="3" t="s">
        <v>83</v>
      </c>
      <c r="M26" s="3">
        <v>6</v>
      </c>
      <c r="N26" s="3">
        <v>20</v>
      </c>
      <c r="O26" s="3" t="s">
        <v>13</v>
      </c>
      <c r="P26" s="3">
        <v>33</v>
      </c>
      <c r="Q26" s="3" t="s">
        <v>7</v>
      </c>
      <c r="S26" s="11">
        <f t="shared" si="18"/>
        <v>16272</v>
      </c>
      <c r="T26" s="16">
        <f t="shared" si="0"/>
        <v>208</v>
      </c>
      <c r="U26" s="17">
        <f t="shared" si="1"/>
        <v>16</v>
      </c>
      <c r="V26" s="17">
        <f t="shared" si="2"/>
        <v>173</v>
      </c>
      <c r="W26" s="17">
        <f t="shared" si="3"/>
        <v>82</v>
      </c>
      <c r="X26" s="17">
        <f t="shared" si="4"/>
        <v>53</v>
      </c>
      <c r="Y26" s="17">
        <f t="shared" si="5"/>
        <v>205</v>
      </c>
      <c r="Z26" s="17">
        <f t="shared" si="6"/>
        <v>5</v>
      </c>
      <c r="AA26" s="18">
        <f t="shared" si="7"/>
        <v>50</v>
      </c>
      <c r="AB26" s="25">
        <f t="shared" si="8"/>
        <v>240</v>
      </c>
      <c r="AC26" s="26">
        <f t="shared" si="9"/>
        <v>23</v>
      </c>
      <c r="AD26" s="26">
        <f t="shared" si="10"/>
        <v>176</v>
      </c>
      <c r="AE26" s="26">
        <f t="shared" si="11"/>
        <v>6</v>
      </c>
      <c r="AF26" s="26">
        <f t="shared" si="12"/>
        <v>32</v>
      </c>
      <c r="AG26" s="26">
        <f t="shared" si="13"/>
        <v>26</v>
      </c>
      <c r="AH26" s="26">
        <f t="shared" si="14"/>
        <v>51</v>
      </c>
      <c r="AI26" s="27">
        <f t="shared" si="15"/>
        <v>169</v>
      </c>
      <c r="AJ26" s="31"/>
      <c r="AK26" s="33">
        <f t="shared" si="19"/>
        <v>16272</v>
      </c>
      <c r="AL26" s="17">
        <f t="shared" si="20"/>
        <v>208</v>
      </c>
      <c r="AM26" s="17">
        <f t="shared" si="21"/>
        <v>16</v>
      </c>
      <c r="AN26" s="17">
        <f t="shared" si="22"/>
        <v>173</v>
      </c>
      <c r="AO26" s="17">
        <f t="shared" si="23"/>
        <v>82</v>
      </c>
      <c r="AP26" s="17">
        <f t="shared" si="24"/>
        <v>53</v>
      </c>
      <c r="AQ26" s="17">
        <f t="shared" si="25"/>
        <v>205</v>
      </c>
      <c r="AR26" s="17">
        <f t="shared" si="26"/>
        <v>5</v>
      </c>
      <c r="AS26" s="17">
        <f t="shared" si="27"/>
        <v>50</v>
      </c>
      <c r="AT26" s="34">
        <f t="shared" si="28"/>
        <v>17064</v>
      </c>
      <c r="AU26" s="31"/>
      <c r="AV26">
        <f t="shared" si="43"/>
        <v>1950</v>
      </c>
      <c r="AW26" t="s">
        <v>14</v>
      </c>
      <c r="AX26" s="8" t="str">
        <f t="shared" si="29"/>
        <v>16272,208,16,173,82,53,205,5,50,17064</v>
      </c>
      <c r="AY26" s="31"/>
      <c r="AZ26" s="9" t="str">
        <f t="shared" si="30"/>
        <v>1950 DATA 16272,208,16,173,82,53,205,5,50,17064</v>
      </c>
      <c r="BA26" s="31"/>
      <c r="BB26" s="33">
        <f t="shared" si="31"/>
        <v>16280</v>
      </c>
      <c r="BC26" s="26">
        <f t="shared" si="32"/>
        <v>240</v>
      </c>
      <c r="BD26" s="26">
        <f t="shared" si="33"/>
        <v>23</v>
      </c>
      <c r="BE26" s="26">
        <f t="shared" si="34"/>
        <v>176</v>
      </c>
      <c r="BF26" s="26">
        <f t="shared" si="35"/>
        <v>6</v>
      </c>
      <c r="BG26" s="26">
        <f t="shared" si="36"/>
        <v>32</v>
      </c>
      <c r="BH26" s="26">
        <f t="shared" si="37"/>
        <v>26</v>
      </c>
      <c r="BI26" s="26">
        <f t="shared" si="38"/>
        <v>51</v>
      </c>
      <c r="BJ26" s="26">
        <f t="shared" si="39"/>
        <v>169</v>
      </c>
      <c r="BK26" s="34">
        <f t="shared" si="40"/>
        <v>17003</v>
      </c>
      <c r="BL26" s="31"/>
      <c r="BM26">
        <f t="shared" si="44"/>
        <v>1951</v>
      </c>
      <c r="BN26" t="s">
        <v>14</v>
      </c>
      <c r="BO26" s="8" t="str">
        <f t="shared" si="41"/>
        <v>16280,240,23,176,6,32,26,51,169,17003</v>
      </c>
      <c r="BP26"/>
      <c r="BQ26" s="9" t="str">
        <f t="shared" si="42"/>
        <v>1951 DATA 16280,240,23,176,6,32,26,51,169,17003</v>
      </c>
      <c r="BR26" s="31"/>
      <c r="BS26" s="31"/>
      <c r="BT26" s="9" t="s">
        <v>117</v>
      </c>
    </row>
    <row r="27" spans="1:72">
      <c r="A27" s="1" t="s">
        <v>84</v>
      </c>
      <c r="B27" s="3">
        <v>0</v>
      </c>
      <c r="C27" s="3">
        <v>60</v>
      </c>
      <c r="D27" s="3" t="s">
        <v>34</v>
      </c>
      <c r="E27" s="3">
        <v>52</v>
      </c>
      <c r="F27" s="3">
        <v>35</v>
      </c>
      <c r="G27" s="3" t="s">
        <v>39</v>
      </c>
      <c r="H27" s="3">
        <v>5</v>
      </c>
      <c r="I27" s="3">
        <v>32</v>
      </c>
      <c r="J27" s="3" t="s">
        <v>34</v>
      </c>
      <c r="K27" s="3">
        <v>53</v>
      </c>
      <c r="L27" s="3">
        <v>35</v>
      </c>
      <c r="M27" s="3" t="s">
        <v>39</v>
      </c>
      <c r="N27" s="3">
        <v>6</v>
      </c>
      <c r="O27" s="3">
        <v>32</v>
      </c>
      <c r="P27" s="3" t="s">
        <v>7</v>
      </c>
      <c r="Q27" s="3">
        <v>0</v>
      </c>
      <c r="S27" s="11">
        <f t="shared" si="18"/>
        <v>16288</v>
      </c>
      <c r="T27" s="16">
        <f t="shared" si="0"/>
        <v>0</v>
      </c>
      <c r="U27" s="17">
        <f t="shared" si="1"/>
        <v>96</v>
      </c>
      <c r="V27" s="17">
        <f t="shared" si="2"/>
        <v>173</v>
      </c>
      <c r="W27" s="17">
        <f t="shared" si="3"/>
        <v>82</v>
      </c>
      <c r="X27" s="17">
        <f t="shared" si="4"/>
        <v>53</v>
      </c>
      <c r="Y27" s="17">
        <f t="shared" si="5"/>
        <v>141</v>
      </c>
      <c r="Z27" s="17">
        <f t="shared" si="6"/>
        <v>5</v>
      </c>
      <c r="AA27" s="18">
        <f t="shared" si="7"/>
        <v>50</v>
      </c>
      <c r="AB27" s="25">
        <f t="shared" si="8"/>
        <v>173</v>
      </c>
      <c r="AC27" s="26">
        <f t="shared" si="9"/>
        <v>83</v>
      </c>
      <c r="AD27" s="26">
        <f t="shared" si="10"/>
        <v>53</v>
      </c>
      <c r="AE27" s="26">
        <f t="shared" si="11"/>
        <v>141</v>
      </c>
      <c r="AF27" s="26">
        <f t="shared" si="12"/>
        <v>6</v>
      </c>
      <c r="AG27" s="26">
        <f t="shared" si="13"/>
        <v>50</v>
      </c>
      <c r="AH27" s="26">
        <f t="shared" si="14"/>
        <v>169</v>
      </c>
      <c r="AI27" s="27">
        <f t="shared" si="15"/>
        <v>0</v>
      </c>
      <c r="AJ27" s="31"/>
      <c r="AK27" s="33">
        <f t="shared" si="19"/>
        <v>16288</v>
      </c>
      <c r="AL27" s="17">
        <f t="shared" si="20"/>
        <v>0</v>
      </c>
      <c r="AM27" s="17">
        <f t="shared" si="21"/>
        <v>96</v>
      </c>
      <c r="AN27" s="17">
        <f t="shared" si="22"/>
        <v>173</v>
      </c>
      <c r="AO27" s="17">
        <f t="shared" si="23"/>
        <v>82</v>
      </c>
      <c r="AP27" s="17">
        <f t="shared" si="24"/>
        <v>53</v>
      </c>
      <c r="AQ27" s="17">
        <f t="shared" si="25"/>
        <v>141</v>
      </c>
      <c r="AR27" s="17">
        <f t="shared" si="26"/>
        <v>5</v>
      </c>
      <c r="AS27" s="17">
        <f t="shared" si="27"/>
        <v>50</v>
      </c>
      <c r="AT27" s="34">
        <f t="shared" si="28"/>
        <v>16888</v>
      </c>
      <c r="AU27" s="31"/>
      <c r="AV27">
        <f t="shared" si="43"/>
        <v>1952</v>
      </c>
      <c r="AW27" t="s">
        <v>14</v>
      </c>
      <c r="AX27" s="8" t="str">
        <f t="shared" si="29"/>
        <v>16288,0,96,173,82,53,141,5,50,16888</v>
      </c>
      <c r="AY27" s="31"/>
      <c r="AZ27" s="9" t="str">
        <f t="shared" si="30"/>
        <v>1952 DATA 16288,0,96,173,82,53,141,5,50,16888</v>
      </c>
      <c r="BA27" s="31"/>
      <c r="BB27" s="33">
        <f t="shared" si="31"/>
        <v>16296</v>
      </c>
      <c r="BC27" s="26">
        <f t="shared" si="32"/>
        <v>173</v>
      </c>
      <c r="BD27" s="26">
        <f t="shared" si="33"/>
        <v>83</v>
      </c>
      <c r="BE27" s="26">
        <f t="shared" si="34"/>
        <v>53</v>
      </c>
      <c r="BF27" s="26">
        <f t="shared" si="35"/>
        <v>141</v>
      </c>
      <c r="BG27" s="26">
        <f t="shared" si="36"/>
        <v>6</v>
      </c>
      <c r="BH27" s="26">
        <f t="shared" si="37"/>
        <v>50</v>
      </c>
      <c r="BI27" s="26">
        <f t="shared" si="38"/>
        <v>169</v>
      </c>
      <c r="BJ27" s="26">
        <f t="shared" si="39"/>
        <v>0</v>
      </c>
      <c r="BK27" s="34">
        <f t="shared" si="40"/>
        <v>16971</v>
      </c>
      <c r="BL27" s="31"/>
      <c r="BM27">
        <f t="shared" si="44"/>
        <v>1953</v>
      </c>
      <c r="BN27" t="s">
        <v>14</v>
      </c>
      <c r="BO27" s="8" t="str">
        <f t="shared" si="41"/>
        <v>16296,173,83,53,141,6,50,169,0,16971</v>
      </c>
      <c r="BP27"/>
      <c r="BQ27" s="9" t="str">
        <f t="shared" si="42"/>
        <v>1953 DATA 16296,173,83,53,141,6,50,169,0,16971</v>
      </c>
      <c r="BR27" s="31"/>
      <c r="BS27" s="31"/>
      <c r="BT27" s="9" t="s">
        <v>118</v>
      </c>
    </row>
    <row r="28" spans="1:72">
      <c r="A28" s="1" t="s">
        <v>85</v>
      </c>
      <c r="B28" s="3">
        <v>60</v>
      </c>
      <c r="C28" s="3" t="s">
        <v>7</v>
      </c>
      <c r="D28" s="3" t="s">
        <v>4</v>
      </c>
      <c r="E28" s="3">
        <v>60</v>
      </c>
      <c r="F28" s="3">
        <v>20</v>
      </c>
      <c r="G28" s="3" t="s">
        <v>10</v>
      </c>
      <c r="H28" s="3">
        <v>37</v>
      </c>
      <c r="I28" s="3" t="s">
        <v>7</v>
      </c>
      <c r="J28" s="3" t="s">
        <v>4</v>
      </c>
      <c r="K28" s="3">
        <v>20</v>
      </c>
      <c r="L28" s="3" t="s">
        <v>72</v>
      </c>
      <c r="M28" s="3">
        <v>33</v>
      </c>
      <c r="N28" s="3">
        <v>20</v>
      </c>
      <c r="O28" s="3" t="s">
        <v>74</v>
      </c>
      <c r="P28" s="3">
        <v>37</v>
      </c>
      <c r="Q28" s="3">
        <v>10</v>
      </c>
      <c r="S28" s="11">
        <f t="shared" si="18"/>
        <v>16304</v>
      </c>
      <c r="T28" s="16">
        <f t="shared" si="0"/>
        <v>96</v>
      </c>
      <c r="U28" s="17">
        <f t="shared" si="1"/>
        <v>169</v>
      </c>
      <c r="V28" s="17">
        <f t="shared" si="2"/>
        <v>255</v>
      </c>
      <c r="W28" s="17">
        <f t="shared" si="3"/>
        <v>96</v>
      </c>
      <c r="X28" s="17">
        <f t="shared" si="4"/>
        <v>32</v>
      </c>
      <c r="Y28" s="17">
        <f t="shared" si="5"/>
        <v>154</v>
      </c>
      <c r="Z28" s="17">
        <f t="shared" si="6"/>
        <v>55</v>
      </c>
      <c r="AA28" s="18">
        <f t="shared" si="7"/>
        <v>169</v>
      </c>
      <c r="AB28" s="25">
        <f t="shared" si="8"/>
        <v>255</v>
      </c>
      <c r="AC28" s="26">
        <f t="shared" si="9"/>
        <v>32</v>
      </c>
      <c r="AD28" s="26">
        <f t="shared" si="10"/>
        <v>45</v>
      </c>
      <c r="AE28" s="26">
        <f t="shared" si="11"/>
        <v>51</v>
      </c>
      <c r="AF28" s="26">
        <f t="shared" si="12"/>
        <v>32</v>
      </c>
      <c r="AG28" s="26">
        <f t="shared" si="13"/>
        <v>125</v>
      </c>
      <c r="AH28" s="26">
        <f t="shared" si="14"/>
        <v>55</v>
      </c>
      <c r="AI28" s="27">
        <f t="shared" si="15"/>
        <v>16</v>
      </c>
      <c r="AJ28" s="31"/>
      <c r="AK28" s="33">
        <f t="shared" si="19"/>
        <v>16304</v>
      </c>
      <c r="AL28" s="17">
        <f t="shared" si="20"/>
        <v>96</v>
      </c>
      <c r="AM28" s="17">
        <f t="shared" si="21"/>
        <v>169</v>
      </c>
      <c r="AN28" s="17">
        <f t="shared" si="22"/>
        <v>255</v>
      </c>
      <c r="AO28" s="17">
        <f t="shared" si="23"/>
        <v>96</v>
      </c>
      <c r="AP28" s="17">
        <f t="shared" si="24"/>
        <v>32</v>
      </c>
      <c r="AQ28" s="17">
        <f t="shared" si="25"/>
        <v>154</v>
      </c>
      <c r="AR28" s="17">
        <f t="shared" si="26"/>
        <v>55</v>
      </c>
      <c r="AS28" s="17">
        <f t="shared" si="27"/>
        <v>169</v>
      </c>
      <c r="AT28" s="34">
        <f t="shared" si="28"/>
        <v>17330</v>
      </c>
      <c r="AU28" s="31"/>
      <c r="AV28">
        <f t="shared" si="43"/>
        <v>1954</v>
      </c>
      <c r="AW28" t="s">
        <v>14</v>
      </c>
      <c r="AX28" s="8" t="str">
        <f t="shared" si="29"/>
        <v>16304,96,169,255,96,32,154,55,169,17330</v>
      </c>
      <c r="AY28" s="31"/>
      <c r="AZ28" s="9" t="str">
        <f t="shared" si="30"/>
        <v>1954 DATA 16304,96,169,255,96,32,154,55,169,17330</v>
      </c>
      <c r="BA28" s="31"/>
      <c r="BB28" s="33">
        <f t="shared" si="31"/>
        <v>16312</v>
      </c>
      <c r="BC28" s="26">
        <f t="shared" si="32"/>
        <v>255</v>
      </c>
      <c r="BD28" s="26">
        <f t="shared" si="33"/>
        <v>32</v>
      </c>
      <c r="BE28" s="26">
        <f t="shared" si="34"/>
        <v>45</v>
      </c>
      <c r="BF28" s="26">
        <f t="shared" si="35"/>
        <v>51</v>
      </c>
      <c r="BG28" s="26">
        <f t="shared" si="36"/>
        <v>32</v>
      </c>
      <c r="BH28" s="26">
        <f t="shared" si="37"/>
        <v>125</v>
      </c>
      <c r="BI28" s="26">
        <f t="shared" si="38"/>
        <v>55</v>
      </c>
      <c r="BJ28" s="26">
        <f t="shared" si="39"/>
        <v>16</v>
      </c>
      <c r="BK28" s="34">
        <f t="shared" si="40"/>
        <v>16923</v>
      </c>
      <c r="BL28" s="31"/>
      <c r="BM28">
        <f t="shared" si="44"/>
        <v>1955</v>
      </c>
      <c r="BN28" t="s">
        <v>14</v>
      </c>
      <c r="BO28" s="8" t="str">
        <f t="shared" si="41"/>
        <v>16312,255,32,45,51,32,125,55,16,16923</v>
      </c>
      <c r="BP28"/>
      <c r="BQ28" s="9" t="str">
        <f t="shared" si="42"/>
        <v>1955 DATA 16312,255,32,45,51,32,125,55,16,16923</v>
      </c>
      <c r="BR28" s="31"/>
      <c r="BS28" s="31"/>
      <c r="BT28" s="9" t="s">
        <v>119</v>
      </c>
    </row>
    <row r="29" spans="1:72">
      <c r="A29" s="1" t="s">
        <v>86</v>
      </c>
      <c r="B29" s="3" t="s">
        <v>19</v>
      </c>
      <c r="C29" s="3">
        <v>20</v>
      </c>
      <c r="D29" s="3" t="s">
        <v>10</v>
      </c>
      <c r="E29" s="3">
        <v>37</v>
      </c>
      <c r="F29" s="3">
        <v>60</v>
      </c>
      <c r="G29" s="3">
        <v>20</v>
      </c>
      <c r="H29" s="3" t="s">
        <v>10</v>
      </c>
      <c r="I29" s="3">
        <v>37</v>
      </c>
      <c r="J29" s="3">
        <v>20</v>
      </c>
      <c r="K29" s="3">
        <v>14</v>
      </c>
      <c r="L29" s="3">
        <v>34</v>
      </c>
      <c r="M29" s="3">
        <v>20</v>
      </c>
      <c r="N29" s="3">
        <v>95</v>
      </c>
      <c r="O29" s="3">
        <v>32</v>
      </c>
      <c r="P29" s="3" t="s">
        <v>46</v>
      </c>
      <c r="Q29" s="3" t="s">
        <v>4</v>
      </c>
      <c r="S29" s="11">
        <f t="shared" si="18"/>
        <v>16320</v>
      </c>
      <c r="T29" s="16">
        <f t="shared" si="0"/>
        <v>246</v>
      </c>
      <c r="U29" s="17">
        <f t="shared" si="1"/>
        <v>32</v>
      </c>
      <c r="V29" s="17">
        <f t="shared" si="2"/>
        <v>154</v>
      </c>
      <c r="W29" s="17">
        <f t="shared" si="3"/>
        <v>55</v>
      </c>
      <c r="X29" s="17">
        <f t="shared" si="4"/>
        <v>96</v>
      </c>
      <c r="Y29" s="17">
        <f t="shared" si="5"/>
        <v>32</v>
      </c>
      <c r="Z29" s="17">
        <f t="shared" si="6"/>
        <v>154</v>
      </c>
      <c r="AA29" s="18">
        <f t="shared" si="7"/>
        <v>55</v>
      </c>
      <c r="AB29" s="25">
        <f t="shared" si="8"/>
        <v>32</v>
      </c>
      <c r="AC29" s="26">
        <f t="shared" si="9"/>
        <v>20</v>
      </c>
      <c r="AD29" s="26">
        <f t="shared" si="10"/>
        <v>52</v>
      </c>
      <c r="AE29" s="26">
        <f t="shared" si="11"/>
        <v>32</v>
      </c>
      <c r="AF29" s="26">
        <f t="shared" si="12"/>
        <v>149</v>
      </c>
      <c r="AG29" s="26">
        <f t="shared" si="13"/>
        <v>50</v>
      </c>
      <c r="AH29" s="26">
        <f t="shared" si="14"/>
        <v>201</v>
      </c>
      <c r="AI29" s="27">
        <f t="shared" si="15"/>
        <v>255</v>
      </c>
      <c r="AJ29" s="31"/>
      <c r="AK29" s="33">
        <f t="shared" si="19"/>
        <v>16320</v>
      </c>
      <c r="AL29" s="17">
        <f t="shared" si="20"/>
        <v>246</v>
      </c>
      <c r="AM29" s="17">
        <f t="shared" si="21"/>
        <v>32</v>
      </c>
      <c r="AN29" s="17">
        <f t="shared" si="22"/>
        <v>154</v>
      </c>
      <c r="AO29" s="17">
        <f t="shared" si="23"/>
        <v>55</v>
      </c>
      <c r="AP29" s="17">
        <f t="shared" si="24"/>
        <v>96</v>
      </c>
      <c r="AQ29" s="17">
        <f t="shared" si="25"/>
        <v>32</v>
      </c>
      <c r="AR29" s="17">
        <f t="shared" si="26"/>
        <v>154</v>
      </c>
      <c r="AS29" s="17">
        <f t="shared" si="27"/>
        <v>55</v>
      </c>
      <c r="AT29" s="34">
        <f t="shared" si="28"/>
        <v>17144</v>
      </c>
      <c r="AU29" s="31"/>
      <c r="AV29">
        <f t="shared" si="43"/>
        <v>1956</v>
      </c>
      <c r="AW29" t="s">
        <v>14</v>
      </c>
      <c r="AX29" s="8" t="str">
        <f t="shared" si="29"/>
        <v>16320,246,32,154,55,96,32,154,55,17144</v>
      </c>
      <c r="AY29" s="31"/>
      <c r="AZ29" s="9" t="str">
        <f t="shared" si="30"/>
        <v>1956 DATA 16320,246,32,154,55,96,32,154,55,17144</v>
      </c>
      <c r="BA29" s="31"/>
      <c r="BB29" s="33">
        <f t="shared" si="31"/>
        <v>16328</v>
      </c>
      <c r="BC29" s="26">
        <f t="shared" si="32"/>
        <v>32</v>
      </c>
      <c r="BD29" s="26">
        <f t="shared" si="33"/>
        <v>20</v>
      </c>
      <c r="BE29" s="26">
        <f t="shared" si="34"/>
        <v>52</v>
      </c>
      <c r="BF29" s="26">
        <f t="shared" si="35"/>
        <v>32</v>
      </c>
      <c r="BG29" s="26">
        <f t="shared" si="36"/>
        <v>149</v>
      </c>
      <c r="BH29" s="26">
        <f t="shared" si="37"/>
        <v>50</v>
      </c>
      <c r="BI29" s="26">
        <f t="shared" si="38"/>
        <v>201</v>
      </c>
      <c r="BJ29" s="26">
        <f t="shared" si="39"/>
        <v>255</v>
      </c>
      <c r="BK29" s="34">
        <f t="shared" si="40"/>
        <v>17119</v>
      </c>
      <c r="BL29" s="31"/>
      <c r="BM29">
        <f t="shared" si="44"/>
        <v>1957</v>
      </c>
      <c r="BN29" t="s">
        <v>14</v>
      </c>
      <c r="BO29" s="8" t="str">
        <f t="shared" si="41"/>
        <v>16328,32,20,52,32,149,50,201,255,17119</v>
      </c>
      <c r="BP29"/>
      <c r="BQ29" s="9" t="str">
        <f t="shared" si="42"/>
        <v>1957 DATA 16328,32,20,52,32,149,50,201,255,17119</v>
      </c>
      <c r="BR29" s="31"/>
      <c r="BS29" s="31"/>
      <c r="BT29" s="9" t="s">
        <v>120</v>
      </c>
    </row>
    <row r="30" spans="1:72">
      <c r="A30" s="1" t="s">
        <v>87</v>
      </c>
      <c r="B30" s="3" t="s">
        <v>71</v>
      </c>
      <c r="C30" s="3">
        <v>8</v>
      </c>
      <c r="D30" s="3">
        <v>20</v>
      </c>
      <c r="E30" s="3">
        <v>40</v>
      </c>
      <c r="F30" s="3">
        <v>34</v>
      </c>
      <c r="G30" s="3">
        <v>20</v>
      </c>
      <c r="H30" s="3" t="s">
        <v>74</v>
      </c>
      <c r="I30" s="3">
        <v>37</v>
      </c>
      <c r="J30" s="3">
        <v>10</v>
      </c>
      <c r="K30" s="3" t="s">
        <v>90</v>
      </c>
      <c r="L30" s="3" t="s">
        <v>1</v>
      </c>
      <c r="M30" s="3" t="s">
        <v>13</v>
      </c>
      <c r="N30" s="3">
        <v>34</v>
      </c>
      <c r="O30" s="3">
        <v>20</v>
      </c>
      <c r="P30" s="3">
        <v>12</v>
      </c>
      <c r="Q30" s="3">
        <v>35</v>
      </c>
      <c r="S30" s="11">
        <f t="shared" si="18"/>
        <v>16336</v>
      </c>
      <c r="T30" s="16">
        <f t="shared" si="0"/>
        <v>240</v>
      </c>
      <c r="U30" s="17">
        <f t="shared" si="1"/>
        <v>8</v>
      </c>
      <c r="V30" s="17">
        <f t="shared" si="2"/>
        <v>32</v>
      </c>
      <c r="W30" s="17">
        <f t="shared" si="3"/>
        <v>64</v>
      </c>
      <c r="X30" s="17">
        <f t="shared" si="4"/>
        <v>52</v>
      </c>
      <c r="Y30" s="17">
        <f t="shared" si="5"/>
        <v>32</v>
      </c>
      <c r="Z30" s="17">
        <f t="shared" si="6"/>
        <v>125</v>
      </c>
      <c r="AA30" s="18">
        <f t="shared" si="7"/>
        <v>55</v>
      </c>
      <c r="AB30" s="25">
        <f t="shared" si="8"/>
        <v>16</v>
      </c>
      <c r="AC30" s="26">
        <f t="shared" si="9"/>
        <v>241</v>
      </c>
      <c r="AD30" s="26">
        <f t="shared" si="10"/>
        <v>76</v>
      </c>
      <c r="AE30" s="26">
        <f t="shared" si="11"/>
        <v>26</v>
      </c>
      <c r="AF30" s="26">
        <f t="shared" si="12"/>
        <v>52</v>
      </c>
      <c r="AG30" s="26">
        <f t="shared" si="13"/>
        <v>32</v>
      </c>
      <c r="AH30" s="26">
        <f t="shared" si="14"/>
        <v>18</v>
      </c>
      <c r="AI30" s="27">
        <f t="shared" si="15"/>
        <v>53</v>
      </c>
      <c r="AJ30" s="31"/>
      <c r="AK30" s="33">
        <f t="shared" si="19"/>
        <v>16336</v>
      </c>
      <c r="AL30" s="17">
        <f t="shared" si="20"/>
        <v>240</v>
      </c>
      <c r="AM30" s="17">
        <f t="shared" si="21"/>
        <v>8</v>
      </c>
      <c r="AN30" s="17">
        <f t="shared" si="22"/>
        <v>32</v>
      </c>
      <c r="AO30" s="17">
        <f t="shared" si="23"/>
        <v>64</v>
      </c>
      <c r="AP30" s="17">
        <f t="shared" si="24"/>
        <v>52</v>
      </c>
      <c r="AQ30" s="17">
        <f t="shared" si="25"/>
        <v>32</v>
      </c>
      <c r="AR30" s="17">
        <f t="shared" si="26"/>
        <v>125</v>
      </c>
      <c r="AS30" s="17">
        <f t="shared" si="27"/>
        <v>55</v>
      </c>
      <c r="AT30" s="34">
        <f t="shared" si="28"/>
        <v>16944</v>
      </c>
      <c r="AU30" s="31"/>
      <c r="AV30">
        <f t="shared" si="43"/>
        <v>1958</v>
      </c>
      <c r="AW30" t="s">
        <v>14</v>
      </c>
      <c r="AX30" s="8" t="str">
        <f t="shared" si="29"/>
        <v>16336,240,8,32,64,52,32,125,55,16944</v>
      </c>
      <c r="AY30" s="31"/>
      <c r="AZ30" s="9" t="str">
        <f t="shared" si="30"/>
        <v>1958 DATA 16336,240,8,32,64,52,32,125,55,16944</v>
      </c>
      <c r="BA30" s="31"/>
      <c r="BB30" s="33">
        <f t="shared" si="31"/>
        <v>16344</v>
      </c>
      <c r="BC30" s="26">
        <f t="shared" si="32"/>
        <v>16</v>
      </c>
      <c r="BD30" s="26">
        <f t="shared" si="33"/>
        <v>241</v>
      </c>
      <c r="BE30" s="26">
        <f t="shared" si="34"/>
        <v>76</v>
      </c>
      <c r="BF30" s="26">
        <f t="shared" si="35"/>
        <v>26</v>
      </c>
      <c r="BG30" s="26">
        <f t="shared" si="36"/>
        <v>52</v>
      </c>
      <c r="BH30" s="26">
        <f t="shared" si="37"/>
        <v>32</v>
      </c>
      <c r="BI30" s="26">
        <f t="shared" si="38"/>
        <v>18</v>
      </c>
      <c r="BJ30" s="26">
        <f t="shared" si="39"/>
        <v>53</v>
      </c>
      <c r="BK30" s="34">
        <f t="shared" si="40"/>
        <v>16858</v>
      </c>
      <c r="BL30" s="31"/>
      <c r="BM30">
        <f t="shared" si="44"/>
        <v>1959</v>
      </c>
      <c r="BN30" t="s">
        <v>14</v>
      </c>
      <c r="BO30" s="8" t="str">
        <f t="shared" si="41"/>
        <v>16344,16,241,76,26,52,32,18,53,16858</v>
      </c>
      <c r="BP30"/>
      <c r="BQ30" s="9" t="str">
        <f t="shared" si="42"/>
        <v>1959 DATA 16344,16,241,76,26,52,32,18,53,16858</v>
      </c>
      <c r="BR30" s="31"/>
      <c r="BS30" s="31"/>
      <c r="BT30" s="9" t="s">
        <v>121</v>
      </c>
    </row>
    <row r="31" spans="1:72">
      <c r="A31" s="1" t="s">
        <v>88</v>
      </c>
      <c r="B31" s="3" t="s">
        <v>34</v>
      </c>
      <c r="C31" s="3">
        <v>53</v>
      </c>
      <c r="D31" s="3">
        <v>35</v>
      </c>
      <c r="E31" s="3">
        <v>48</v>
      </c>
      <c r="F31" s="3" t="s">
        <v>34</v>
      </c>
      <c r="G31" s="3">
        <v>52</v>
      </c>
      <c r="H31" s="3">
        <v>35</v>
      </c>
      <c r="I31" s="3">
        <v>48</v>
      </c>
      <c r="J31" s="3">
        <v>20</v>
      </c>
      <c r="K31" s="3" t="s">
        <v>77</v>
      </c>
      <c r="L31" s="3">
        <v>38</v>
      </c>
      <c r="M31" s="3">
        <v>20</v>
      </c>
      <c r="N31" s="3" t="s">
        <v>74</v>
      </c>
      <c r="O31" s="3">
        <v>37</v>
      </c>
      <c r="P31" s="3">
        <v>20</v>
      </c>
      <c r="Q31" s="3">
        <v>61</v>
      </c>
      <c r="S31" s="11">
        <f t="shared" si="18"/>
        <v>16352</v>
      </c>
      <c r="T31" s="16">
        <f t="shared" si="0"/>
        <v>173</v>
      </c>
      <c r="U31" s="17">
        <f t="shared" si="1"/>
        <v>83</v>
      </c>
      <c r="V31" s="17">
        <f t="shared" si="2"/>
        <v>53</v>
      </c>
      <c r="W31" s="17">
        <f t="shared" si="3"/>
        <v>72</v>
      </c>
      <c r="X31" s="17">
        <f t="shared" si="4"/>
        <v>173</v>
      </c>
      <c r="Y31" s="17">
        <f t="shared" si="5"/>
        <v>82</v>
      </c>
      <c r="Z31" s="17">
        <f t="shared" si="6"/>
        <v>53</v>
      </c>
      <c r="AA31" s="18">
        <f t="shared" si="7"/>
        <v>72</v>
      </c>
      <c r="AB31" s="25">
        <f t="shared" si="8"/>
        <v>32</v>
      </c>
      <c r="AC31" s="26">
        <f t="shared" si="9"/>
        <v>226</v>
      </c>
      <c r="AD31" s="26">
        <f t="shared" si="10"/>
        <v>56</v>
      </c>
      <c r="AE31" s="26">
        <f t="shared" si="11"/>
        <v>32</v>
      </c>
      <c r="AF31" s="26">
        <f t="shared" si="12"/>
        <v>125</v>
      </c>
      <c r="AG31" s="26">
        <f t="shared" si="13"/>
        <v>55</v>
      </c>
      <c r="AH31" s="26">
        <f t="shared" si="14"/>
        <v>32</v>
      </c>
      <c r="AI31" s="27">
        <f t="shared" si="15"/>
        <v>97</v>
      </c>
      <c r="AJ31" s="31"/>
      <c r="AK31" s="33">
        <f t="shared" si="19"/>
        <v>16352</v>
      </c>
      <c r="AL31" s="17">
        <f t="shared" si="20"/>
        <v>173</v>
      </c>
      <c r="AM31" s="17">
        <f t="shared" si="21"/>
        <v>83</v>
      </c>
      <c r="AN31" s="17">
        <f t="shared" si="22"/>
        <v>53</v>
      </c>
      <c r="AO31" s="17">
        <f t="shared" si="23"/>
        <v>72</v>
      </c>
      <c r="AP31" s="17">
        <f t="shared" si="24"/>
        <v>173</v>
      </c>
      <c r="AQ31" s="17">
        <f t="shared" si="25"/>
        <v>82</v>
      </c>
      <c r="AR31" s="17">
        <f t="shared" si="26"/>
        <v>53</v>
      </c>
      <c r="AS31" s="17">
        <f t="shared" si="27"/>
        <v>72</v>
      </c>
      <c r="AT31" s="34">
        <f t="shared" si="28"/>
        <v>17113</v>
      </c>
      <c r="AU31" s="31"/>
      <c r="AV31">
        <f t="shared" si="43"/>
        <v>1960</v>
      </c>
      <c r="AW31" t="s">
        <v>14</v>
      </c>
      <c r="AX31" s="8" t="str">
        <f t="shared" si="29"/>
        <v>16352,173,83,53,72,173,82,53,72,17113</v>
      </c>
      <c r="AY31" s="31"/>
      <c r="AZ31" s="9" t="str">
        <f t="shared" si="30"/>
        <v>1960 DATA 16352,173,83,53,72,173,82,53,72,17113</v>
      </c>
      <c r="BA31" s="31"/>
      <c r="BB31" s="33">
        <f t="shared" si="31"/>
        <v>16360</v>
      </c>
      <c r="BC31" s="26">
        <f t="shared" si="32"/>
        <v>32</v>
      </c>
      <c r="BD31" s="26">
        <f t="shared" si="33"/>
        <v>226</v>
      </c>
      <c r="BE31" s="26">
        <f t="shared" si="34"/>
        <v>56</v>
      </c>
      <c r="BF31" s="26">
        <f t="shared" si="35"/>
        <v>32</v>
      </c>
      <c r="BG31" s="26">
        <f t="shared" si="36"/>
        <v>125</v>
      </c>
      <c r="BH31" s="26">
        <f t="shared" si="37"/>
        <v>55</v>
      </c>
      <c r="BI31" s="26">
        <f t="shared" si="38"/>
        <v>32</v>
      </c>
      <c r="BJ31" s="26">
        <f t="shared" si="39"/>
        <v>97</v>
      </c>
      <c r="BK31" s="34">
        <f t="shared" si="40"/>
        <v>17015</v>
      </c>
      <c r="BL31" s="31"/>
      <c r="BM31">
        <f t="shared" si="44"/>
        <v>1961</v>
      </c>
      <c r="BN31" t="s">
        <v>14</v>
      </c>
      <c r="BO31" s="8" t="str">
        <f t="shared" si="41"/>
        <v>16360,32,226,56,32,125,55,32,97,17015</v>
      </c>
      <c r="BP31"/>
      <c r="BQ31" s="9" t="str">
        <f t="shared" si="42"/>
        <v>1961 DATA 16360,32,226,56,32,125,55,32,97,17015</v>
      </c>
      <c r="BR31" s="31"/>
      <c r="BS31" s="31"/>
      <c r="BT31" s="9" t="s">
        <v>122</v>
      </c>
    </row>
    <row r="32" spans="1:72">
      <c r="A32" s="1" t="s">
        <v>89</v>
      </c>
      <c r="B32" s="3">
        <v>36</v>
      </c>
      <c r="C32" s="3">
        <v>20</v>
      </c>
      <c r="D32" s="3" t="s">
        <v>78</v>
      </c>
      <c r="E32" s="3">
        <v>37</v>
      </c>
      <c r="F32" s="3">
        <v>68</v>
      </c>
      <c r="G32" s="3" t="s">
        <v>39</v>
      </c>
      <c r="H32" s="3">
        <v>52</v>
      </c>
      <c r="I32" s="3">
        <v>35</v>
      </c>
      <c r="J32" s="3">
        <v>68</v>
      </c>
      <c r="K32" s="3" t="s">
        <v>39</v>
      </c>
      <c r="L32" s="3">
        <v>53</v>
      </c>
      <c r="M32" s="3">
        <v>35</v>
      </c>
      <c r="N32" s="3">
        <v>20</v>
      </c>
      <c r="O32" s="3" t="s">
        <v>27</v>
      </c>
      <c r="P32" s="3">
        <v>35</v>
      </c>
      <c r="Q32" s="3">
        <v>60</v>
      </c>
      <c r="S32" s="11">
        <f t="shared" si="18"/>
        <v>16368</v>
      </c>
      <c r="T32" s="16">
        <f t="shared" si="0"/>
        <v>54</v>
      </c>
      <c r="U32" s="17">
        <f t="shared" si="1"/>
        <v>32</v>
      </c>
      <c r="V32" s="17">
        <f t="shared" si="2"/>
        <v>214</v>
      </c>
      <c r="W32" s="17">
        <f t="shared" si="3"/>
        <v>55</v>
      </c>
      <c r="X32" s="17">
        <f t="shared" si="4"/>
        <v>104</v>
      </c>
      <c r="Y32" s="17">
        <f t="shared" si="5"/>
        <v>141</v>
      </c>
      <c r="Z32" s="17">
        <f t="shared" si="6"/>
        <v>82</v>
      </c>
      <c r="AA32" s="18">
        <f t="shared" si="7"/>
        <v>53</v>
      </c>
      <c r="AB32" s="25">
        <f t="shared" si="8"/>
        <v>104</v>
      </c>
      <c r="AC32" s="26">
        <f t="shared" si="9"/>
        <v>141</v>
      </c>
      <c r="AD32" s="26">
        <f t="shared" si="10"/>
        <v>83</v>
      </c>
      <c r="AE32" s="26">
        <f t="shared" si="11"/>
        <v>53</v>
      </c>
      <c r="AF32" s="26">
        <f t="shared" si="12"/>
        <v>32</v>
      </c>
      <c r="AG32" s="26">
        <f t="shared" si="13"/>
        <v>43</v>
      </c>
      <c r="AH32" s="26">
        <f t="shared" si="14"/>
        <v>53</v>
      </c>
      <c r="AI32" s="27">
        <f t="shared" si="15"/>
        <v>96</v>
      </c>
      <c r="AJ32" s="31"/>
      <c r="AK32" s="33">
        <f t="shared" si="19"/>
        <v>16368</v>
      </c>
      <c r="AL32" s="17">
        <f t="shared" si="20"/>
        <v>54</v>
      </c>
      <c r="AM32" s="17">
        <f t="shared" si="21"/>
        <v>32</v>
      </c>
      <c r="AN32" s="17">
        <f t="shared" si="22"/>
        <v>214</v>
      </c>
      <c r="AO32" s="17">
        <f t="shared" si="23"/>
        <v>55</v>
      </c>
      <c r="AP32" s="17">
        <f t="shared" si="24"/>
        <v>104</v>
      </c>
      <c r="AQ32" s="17">
        <f t="shared" si="25"/>
        <v>141</v>
      </c>
      <c r="AR32" s="17">
        <f t="shared" si="26"/>
        <v>82</v>
      </c>
      <c r="AS32" s="17">
        <f t="shared" si="27"/>
        <v>53</v>
      </c>
      <c r="AT32" s="34">
        <f t="shared" si="28"/>
        <v>17103</v>
      </c>
      <c r="AU32" s="31"/>
      <c r="AV32">
        <f t="shared" si="43"/>
        <v>1962</v>
      </c>
      <c r="AW32" t="s">
        <v>14</v>
      </c>
      <c r="AX32" s="8" t="str">
        <f t="shared" si="29"/>
        <v>16368,54,32,214,55,104,141,82,53,17103</v>
      </c>
      <c r="AY32" s="31"/>
      <c r="AZ32" s="9" t="str">
        <f t="shared" si="30"/>
        <v>1962 DATA 16368,54,32,214,55,104,141,82,53,17103</v>
      </c>
      <c r="BA32" s="31"/>
      <c r="BB32" s="33">
        <f t="shared" si="31"/>
        <v>16376</v>
      </c>
      <c r="BC32" s="26">
        <f t="shared" si="32"/>
        <v>104</v>
      </c>
      <c r="BD32" s="26">
        <f t="shared" si="33"/>
        <v>141</v>
      </c>
      <c r="BE32" s="26">
        <f t="shared" si="34"/>
        <v>83</v>
      </c>
      <c r="BF32" s="26">
        <f t="shared" si="35"/>
        <v>53</v>
      </c>
      <c r="BG32" s="26">
        <f t="shared" si="36"/>
        <v>32</v>
      </c>
      <c r="BH32" s="26">
        <f t="shared" si="37"/>
        <v>43</v>
      </c>
      <c r="BI32" s="26">
        <f t="shared" si="38"/>
        <v>53</v>
      </c>
      <c r="BJ32" s="26">
        <f t="shared" si="39"/>
        <v>96</v>
      </c>
      <c r="BK32" s="34">
        <f t="shared" si="40"/>
        <v>16981</v>
      </c>
      <c r="BL32" s="31"/>
      <c r="BM32">
        <f t="shared" si="44"/>
        <v>1963</v>
      </c>
      <c r="BN32" t="s">
        <v>14</v>
      </c>
      <c r="BO32" s="8" t="str">
        <f t="shared" si="41"/>
        <v>16376,104,141,83,53,32,43,53,96,16981</v>
      </c>
      <c r="BP32"/>
      <c r="BQ32" s="9" t="str">
        <f t="shared" si="42"/>
        <v>1963 DATA 16376,104,141,83,53,32,43,53,96,16981</v>
      </c>
      <c r="BR32" s="31"/>
      <c r="BS32" s="31"/>
      <c r="BT32" s="9" t="s">
        <v>123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1964</v>
      </c>
      <c r="AW33" t="s">
        <v>14</v>
      </c>
      <c r="AX33" s="8" t="str">
        <f t="shared" si="29"/>
        <v>0,0,0,0,0,0,0,0,0,0</v>
      </c>
      <c r="AY33" s="31"/>
      <c r="AZ33" s="9" t="str">
        <f t="shared" si="30"/>
        <v>1964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1965</v>
      </c>
      <c r="BN33" t="s">
        <v>14</v>
      </c>
      <c r="BO33" s="8" t="str">
        <f t="shared" si="41"/>
        <v>8,0,0,0,0,0,0,0,0,8</v>
      </c>
      <c r="BP33"/>
      <c r="BQ33" s="9" t="str">
        <f t="shared" si="42"/>
        <v>1965 DATA 8,0,0,0,0,0,0,0,0,8</v>
      </c>
      <c r="BR33" s="31"/>
      <c r="BS33" s="31"/>
      <c r="BT33" s="9" t="s">
        <v>124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1966</v>
      </c>
      <c r="AW34" t="s">
        <v>14</v>
      </c>
      <c r="AX34" s="8" t="str">
        <f t="shared" si="29"/>
        <v>0,0,0,0,0,0,0,0,0,0</v>
      </c>
      <c r="AY34" s="31"/>
      <c r="AZ34" s="9" t="str">
        <f t="shared" si="30"/>
        <v>1966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1967</v>
      </c>
      <c r="BN34" t="s">
        <v>14</v>
      </c>
      <c r="BO34" s="8" t="str">
        <f t="shared" si="41"/>
        <v>8,0,0,0,0,0,0,0,0,8</v>
      </c>
      <c r="BP34"/>
      <c r="BQ34" s="9" t="str">
        <f t="shared" si="42"/>
        <v>1967 DATA 8,0,0,0,0,0,0,0,0,8</v>
      </c>
      <c r="BR34" s="31"/>
      <c r="BS34" s="31"/>
      <c r="BT34" s="9" t="s">
        <v>125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1968</v>
      </c>
      <c r="AW35" t="s">
        <v>14</v>
      </c>
      <c r="AX35" s="8" t="str">
        <f t="shared" si="29"/>
        <v>0,0,0,0,0,0,0,0,0,0</v>
      </c>
      <c r="AY35" s="31"/>
      <c r="AZ35" s="9" t="str">
        <f t="shared" si="30"/>
        <v>1968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1969</v>
      </c>
      <c r="BN35" t="s">
        <v>14</v>
      </c>
      <c r="BO35" s="8" t="str">
        <f t="shared" si="41"/>
        <v>8,0,0,0,0,0,0,0,0,8</v>
      </c>
      <c r="BP35"/>
      <c r="BQ35" s="9" t="str">
        <f t="shared" si="42"/>
        <v>1969 DATA 8,0,0,0,0,0,0,0,0,8</v>
      </c>
      <c r="BR35" s="31"/>
      <c r="BS35" s="31"/>
      <c r="BT35" s="9" t="s">
        <v>126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1970</v>
      </c>
      <c r="AW36" t="s">
        <v>14</v>
      </c>
      <c r="AX36" s="8" t="str">
        <f t="shared" si="29"/>
        <v>0,0,0,0,0,0,0,0,0,0</v>
      </c>
      <c r="AY36" s="31"/>
      <c r="AZ36" s="9" t="str">
        <f t="shared" si="30"/>
        <v>1970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1971</v>
      </c>
      <c r="BN36" t="s">
        <v>14</v>
      </c>
      <c r="BO36" s="8" t="str">
        <f t="shared" si="41"/>
        <v>8,0,0,0,0,0,0,0,0,8</v>
      </c>
      <c r="BP36"/>
      <c r="BQ36" s="9" t="str">
        <f t="shared" si="42"/>
        <v>1971 DATA 8,0,0,0,0,0,0,0,0,8</v>
      </c>
      <c r="BR36" s="31"/>
      <c r="BS36" s="31"/>
      <c r="BT36" s="9" t="s">
        <v>127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1972</v>
      </c>
      <c r="AW37" t="s">
        <v>14</v>
      </c>
      <c r="AX37" s="8" t="str">
        <f t="shared" si="29"/>
        <v>0,0,0,0,0,0,0,0,0,0</v>
      </c>
      <c r="AY37" s="31"/>
      <c r="AZ37" s="9" t="str">
        <f t="shared" si="30"/>
        <v>1972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1973</v>
      </c>
      <c r="BN37" t="s">
        <v>14</v>
      </c>
      <c r="BO37" s="8" t="str">
        <f t="shared" si="41"/>
        <v>8,0,0,0,0,0,0,0,0,8</v>
      </c>
      <c r="BP37"/>
      <c r="BQ37" s="9" t="str">
        <f t="shared" si="42"/>
        <v>1973 DATA 8,0,0,0,0,0,0,0,0,8</v>
      </c>
      <c r="BR37" s="31"/>
      <c r="BS37" s="31"/>
      <c r="BT37" s="9" t="s">
        <v>128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1974</v>
      </c>
      <c r="AW38" t="s">
        <v>14</v>
      </c>
      <c r="AX38" s="8" t="str">
        <f t="shared" si="29"/>
        <v>0,0,0,0,0,0,0,0,0,0</v>
      </c>
      <c r="AY38" s="31"/>
      <c r="AZ38" s="9" t="str">
        <f t="shared" si="30"/>
        <v>1974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1975</v>
      </c>
      <c r="BN38" t="s">
        <v>14</v>
      </c>
      <c r="BO38" s="8" t="str">
        <f t="shared" si="41"/>
        <v>8,0,0,0,0,0,0,0,0,8</v>
      </c>
      <c r="BP38"/>
      <c r="BQ38" s="9" t="str">
        <f t="shared" si="42"/>
        <v>1975 DATA 8,0,0,0,0,0,0,0,0,8</v>
      </c>
      <c r="BR38" s="31"/>
      <c r="BS38" s="31"/>
      <c r="BT38" s="9" t="s">
        <v>129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1976</v>
      </c>
      <c r="AW39" t="s">
        <v>14</v>
      </c>
      <c r="AX39" s="8" t="str">
        <f t="shared" si="29"/>
        <v>0,0,0,0,0,0,0,0,0,0</v>
      </c>
      <c r="AY39" s="31"/>
      <c r="AZ39" s="9" t="str">
        <f t="shared" si="30"/>
        <v>1976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1977</v>
      </c>
      <c r="BN39" t="s">
        <v>14</v>
      </c>
      <c r="BO39" s="8" t="str">
        <f t="shared" si="41"/>
        <v>8,0,0,0,0,0,0,0,0,8</v>
      </c>
      <c r="BP39"/>
      <c r="BQ39" s="9" t="str">
        <f t="shared" si="42"/>
        <v>1977 DATA 8,0,0,0,0,0,0,0,0,8</v>
      </c>
      <c r="BR39" s="31"/>
      <c r="BS39" s="31"/>
      <c r="BT39" s="9" t="s">
        <v>130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1978</v>
      </c>
      <c r="AW40" t="s">
        <v>14</v>
      </c>
      <c r="AX40" s="8" t="str">
        <f t="shared" si="29"/>
        <v>0,0,0,0,0,0,0,0,0,0</v>
      </c>
      <c r="AY40" s="31"/>
      <c r="AZ40" s="9" t="str">
        <f t="shared" si="30"/>
        <v>1978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1979</v>
      </c>
      <c r="BN40" t="s">
        <v>14</v>
      </c>
      <c r="BO40" s="8" t="str">
        <f t="shared" si="41"/>
        <v>8,0,0,0,0,0,0,0,0,8</v>
      </c>
      <c r="BP40"/>
      <c r="BQ40" s="9" t="str">
        <f t="shared" si="42"/>
        <v>1979 DATA 8,0,0,0,0,0,0,0,0,8</v>
      </c>
      <c r="BR40" s="31"/>
      <c r="BS40" s="31"/>
      <c r="BT40" s="9" t="s">
        <v>131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1980</v>
      </c>
      <c r="AW41" t="s">
        <v>14</v>
      </c>
      <c r="AX41" s="8" t="str">
        <f t="shared" si="29"/>
        <v>0,0,0,0,0,0,0,0,0,0</v>
      </c>
      <c r="AY41" s="31"/>
      <c r="AZ41" s="9" t="str">
        <f t="shared" si="30"/>
        <v>1980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1981</v>
      </c>
      <c r="BN41" t="s">
        <v>14</v>
      </c>
      <c r="BO41" s="8" t="str">
        <f t="shared" si="41"/>
        <v>8,0,0,0,0,0,0,0,0,8</v>
      </c>
      <c r="BP41"/>
      <c r="BQ41" s="9" t="str">
        <f t="shared" si="42"/>
        <v>1981 DATA 8,0,0,0,0,0,0,0,0,8</v>
      </c>
      <c r="BR41" s="31"/>
      <c r="BS41" s="31"/>
      <c r="BT41" s="9" t="s">
        <v>132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1982</v>
      </c>
      <c r="AW42" t="s">
        <v>14</v>
      </c>
      <c r="AX42" s="8" t="str">
        <f t="shared" si="29"/>
        <v>0,0,0,0,0,0,0,0,0,0</v>
      </c>
      <c r="AY42" s="31"/>
      <c r="AZ42" s="9" t="str">
        <f t="shared" si="30"/>
        <v>1982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1983</v>
      </c>
      <c r="BN42" t="s">
        <v>14</v>
      </c>
      <c r="BO42" s="8" t="str">
        <f t="shared" si="41"/>
        <v>8,0,0,0,0,0,0,0,0,8</v>
      </c>
      <c r="BP42"/>
      <c r="BQ42" s="9" t="str">
        <f t="shared" si="42"/>
        <v>1983 DATA 8,0,0,0,0,0,0,0,0,8</v>
      </c>
      <c r="BR42" s="31"/>
      <c r="BS42" s="31"/>
      <c r="BT42" s="9" t="s">
        <v>133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1984</v>
      </c>
      <c r="AW43" t="s">
        <v>14</v>
      </c>
      <c r="AX43" s="8" t="str">
        <f t="shared" si="29"/>
        <v>0,0,0,0,0,0,0,0,0,0</v>
      </c>
      <c r="AY43" s="31"/>
      <c r="AZ43" s="9" t="str">
        <f t="shared" si="30"/>
        <v>1984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1985</v>
      </c>
      <c r="BN43" t="s">
        <v>14</v>
      </c>
      <c r="BO43" s="8" t="str">
        <f t="shared" si="41"/>
        <v>8,0,0,0,0,0,0,0,0,8</v>
      </c>
      <c r="BP43"/>
      <c r="BQ43" s="9" t="str">
        <f t="shared" si="42"/>
        <v>1985 DATA 8,0,0,0,0,0,0,0,0,8</v>
      </c>
      <c r="BR43" s="31"/>
      <c r="BS43" s="31"/>
      <c r="BT43" s="9" t="s">
        <v>134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1986</v>
      </c>
      <c r="AW44" t="s">
        <v>14</v>
      </c>
      <c r="AX44" s="8" t="str">
        <f t="shared" si="29"/>
        <v>0,0,0,0,0,0,0,0,0,0</v>
      </c>
      <c r="AY44" s="31"/>
      <c r="AZ44" s="9" t="str">
        <f t="shared" si="30"/>
        <v>1986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1987</v>
      </c>
      <c r="BN44" t="s">
        <v>14</v>
      </c>
      <c r="BO44" s="8" t="str">
        <f t="shared" si="41"/>
        <v>8,0,0,0,0,0,0,0,0,8</v>
      </c>
      <c r="BP44"/>
      <c r="BQ44" s="9" t="str">
        <f t="shared" si="42"/>
        <v>1987 DATA 8,0,0,0,0,0,0,0,0,8</v>
      </c>
      <c r="BT44" s="9" t="s">
        <v>135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1988</v>
      </c>
      <c r="AW45" t="s">
        <v>14</v>
      </c>
      <c r="AX45" s="8" t="str">
        <f t="shared" si="29"/>
        <v>0,0,0,0,0,0,0,0,0,0</v>
      </c>
      <c r="AY45" s="31"/>
      <c r="AZ45" s="9" t="str">
        <f t="shared" si="30"/>
        <v>1988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1989</v>
      </c>
      <c r="BN45" t="s">
        <v>14</v>
      </c>
      <c r="BO45" s="8" t="str">
        <f t="shared" si="41"/>
        <v>8,0,0,0,0,0,0,0,0,8</v>
      </c>
      <c r="BP45"/>
      <c r="BQ45" s="9" t="str">
        <f t="shared" si="42"/>
        <v>1989 DATA 8,0,0,0,0,0,0,0,0,8</v>
      </c>
      <c r="BT45" s="9" t="s">
        <v>136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1990</v>
      </c>
      <c r="AW46" t="s">
        <v>14</v>
      </c>
      <c r="AX46" s="8" t="str">
        <f t="shared" si="29"/>
        <v>0,0,0,0,0,0,0,0,0,0</v>
      </c>
      <c r="AY46" s="31"/>
      <c r="AZ46" s="9" t="str">
        <f t="shared" si="30"/>
        <v>1990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1991</v>
      </c>
      <c r="BN46" t="s">
        <v>14</v>
      </c>
      <c r="BO46" s="8" t="str">
        <f t="shared" si="41"/>
        <v>8,0,0,0,0,0,0,0,0,8</v>
      </c>
      <c r="BP46"/>
      <c r="BQ46" s="9" t="str">
        <f t="shared" si="42"/>
        <v>1991 DATA 8,0,0,0,0,0,0,0,0,8</v>
      </c>
      <c r="BT46" s="9" t="s">
        <v>137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1992</v>
      </c>
      <c r="AW47" t="s">
        <v>14</v>
      </c>
      <c r="AX47" s="8" t="str">
        <f t="shared" si="29"/>
        <v>0,0,0,0,0,0,0,0,0,0</v>
      </c>
      <c r="AY47" s="31"/>
      <c r="AZ47" s="9" t="str">
        <f t="shared" si="30"/>
        <v>1992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1993</v>
      </c>
      <c r="BN47" t="s">
        <v>14</v>
      </c>
      <c r="BO47" s="8" t="str">
        <f t="shared" si="41"/>
        <v>8,0,0,0,0,0,0,0,0,8</v>
      </c>
      <c r="BP47"/>
      <c r="BQ47" s="9" t="str">
        <f t="shared" si="42"/>
        <v>1993 DATA 8,0,0,0,0,0,0,0,0,8</v>
      </c>
      <c r="BT47" s="9" t="s">
        <v>138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1994</v>
      </c>
      <c r="AW48" t="s">
        <v>14</v>
      </c>
      <c r="AX48" s="8" t="str">
        <f t="shared" si="29"/>
        <v>0,0,0,0,0,0,0,0,0,0</v>
      </c>
      <c r="AY48" s="31"/>
      <c r="AZ48" s="9" t="str">
        <f t="shared" si="30"/>
        <v>1994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1995</v>
      </c>
      <c r="BN48" t="s">
        <v>14</v>
      </c>
      <c r="BO48" s="8" t="str">
        <f t="shared" si="41"/>
        <v>8,0,0,0,0,0,0,0,0,8</v>
      </c>
      <c r="BP48"/>
      <c r="BQ48" s="9" t="str">
        <f t="shared" si="42"/>
        <v>1995 DATA 8,0,0,0,0,0,0,0,0,8</v>
      </c>
      <c r="BT48" s="9" t="s">
        <v>139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1996</v>
      </c>
      <c r="AW49" t="s">
        <v>14</v>
      </c>
      <c r="AX49" s="8" t="str">
        <f t="shared" si="29"/>
        <v>0,0,0,0,0,0,0,0,0,0</v>
      </c>
      <c r="AY49" s="31"/>
      <c r="AZ49" s="9" t="str">
        <f t="shared" si="30"/>
        <v>1996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1997</v>
      </c>
      <c r="BN49" t="s">
        <v>14</v>
      </c>
      <c r="BO49" s="8" t="str">
        <f t="shared" si="41"/>
        <v>8,0,0,0,0,0,0,0,0,8</v>
      </c>
      <c r="BP49"/>
      <c r="BQ49" s="9" t="str">
        <f t="shared" si="42"/>
        <v>1997 DATA 8,0,0,0,0,0,0,0,0,8</v>
      </c>
      <c r="BT49" s="9" t="s">
        <v>140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1998</v>
      </c>
      <c r="AW50" t="s">
        <v>14</v>
      </c>
      <c r="AX50" s="8" t="str">
        <f t="shared" si="29"/>
        <v>0,0,0,0,0,0,0,0,0,0</v>
      </c>
      <c r="AY50" s="31"/>
      <c r="AZ50" s="9" t="str">
        <f t="shared" si="30"/>
        <v>1998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1999</v>
      </c>
      <c r="BN50" t="s">
        <v>14</v>
      </c>
      <c r="BO50" s="8" t="str">
        <f t="shared" si="41"/>
        <v>8,0,0,0,0,0,0,0,0,8</v>
      </c>
      <c r="BP50"/>
      <c r="BQ50" s="9" t="str">
        <f t="shared" si="42"/>
        <v>1999 DATA 8,0,0,0,0,0,0,0,0,8</v>
      </c>
      <c r="BT50" s="9" t="s">
        <v>141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2000</v>
      </c>
      <c r="AW51" t="s">
        <v>14</v>
      </c>
      <c r="AX51" s="8" t="str">
        <f t="shared" si="29"/>
        <v>0,0,0,0,0,0,0,0,0,0</v>
      </c>
      <c r="AY51" s="31"/>
      <c r="AZ51" s="9" t="str">
        <f t="shared" si="30"/>
        <v>2000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2001</v>
      </c>
      <c r="BN51" t="s">
        <v>14</v>
      </c>
      <c r="BO51" s="8" t="str">
        <f t="shared" si="41"/>
        <v>8,0,0,0,0,0,0,0,0,8</v>
      </c>
      <c r="BP51"/>
      <c r="BQ51" s="9" t="str">
        <f t="shared" si="42"/>
        <v>2001 DATA 8,0,0,0,0,0,0,0,0,8</v>
      </c>
      <c r="BT51" s="9" t="s">
        <v>142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2002</v>
      </c>
      <c r="AW52" t="s">
        <v>14</v>
      </c>
      <c r="AX52" s="8" t="str">
        <f t="shared" si="29"/>
        <v>0,0,0,0,0,0,0,0,0,0</v>
      </c>
      <c r="AY52" s="31"/>
      <c r="AZ52" s="9" t="str">
        <f t="shared" si="30"/>
        <v>2002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2003</v>
      </c>
      <c r="BN52" t="s">
        <v>14</v>
      </c>
      <c r="BO52" s="8" t="str">
        <f t="shared" si="41"/>
        <v>8,0,0,0,0,0,0,0,0,8</v>
      </c>
      <c r="BP52"/>
      <c r="BQ52" s="9" t="str">
        <f t="shared" si="42"/>
        <v>2003 DATA 8,0,0,0,0,0,0,0,0,8</v>
      </c>
      <c r="BT52" s="9" t="s">
        <v>143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2004</v>
      </c>
      <c r="AW53" t="s">
        <v>14</v>
      </c>
      <c r="AX53" s="8" t="str">
        <f t="shared" si="29"/>
        <v>0,0,0,0,0,0,0,0,0,0</v>
      </c>
      <c r="AY53" s="31"/>
      <c r="AZ53" s="9" t="str">
        <f t="shared" si="30"/>
        <v>2004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2005</v>
      </c>
      <c r="BN53" t="s">
        <v>14</v>
      </c>
      <c r="BO53" s="8" t="str">
        <f t="shared" si="41"/>
        <v>8,0,0,0,0,0,0,0,0,8</v>
      </c>
      <c r="BP53"/>
      <c r="BQ53" s="9" t="str">
        <f t="shared" si="42"/>
        <v>2005 DATA 8,0,0,0,0,0,0,0,0,8</v>
      </c>
      <c r="BT53" s="9" t="s">
        <v>144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2006</v>
      </c>
      <c r="AW54" t="s">
        <v>14</v>
      </c>
      <c r="AX54" s="8" t="str">
        <f t="shared" si="29"/>
        <v>0,0,0,0,0,0,0,0,0,0</v>
      </c>
      <c r="AY54" s="31"/>
      <c r="AZ54" s="9" t="str">
        <f t="shared" si="30"/>
        <v>2006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2007</v>
      </c>
      <c r="BN54" t="s">
        <v>14</v>
      </c>
      <c r="BO54" s="8" t="str">
        <f t="shared" si="41"/>
        <v>8,0,0,0,0,0,0,0,0,8</v>
      </c>
      <c r="BP54"/>
      <c r="BQ54" s="9" t="str">
        <f t="shared" si="42"/>
        <v>2007 DATA 8,0,0,0,0,0,0,0,0,8</v>
      </c>
      <c r="BT54" s="9" t="s">
        <v>145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2008</v>
      </c>
      <c r="AW55" t="s">
        <v>14</v>
      </c>
      <c r="AX55" s="8" t="str">
        <f t="shared" si="29"/>
        <v>0,0,0,0,0,0,0,0,0,0</v>
      </c>
      <c r="AY55" s="31"/>
      <c r="AZ55" s="9" t="str">
        <f t="shared" si="30"/>
        <v>2008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2009</v>
      </c>
      <c r="BN55" t="s">
        <v>14</v>
      </c>
      <c r="BO55" s="8" t="str">
        <f t="shared" si="41"/>
        <v>8,0,0,0,0,0,0,0,0,8</v>
      </c>
      <c r="BP55"/>
      <c r="BQ55" s="9" t="str">
        <f t="shared" si="42"/>
        <v>2009 DATA 8,0,0,0,0,0,0,0,0,8</v>
      </c>
      <c r="BT55" s="9" t="s">
        <v>146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2010</v>
      </c>
      <c r="AW56" t="s">
        <v>14</v>
      </c>
      <c r="AX56" s="8" t="str">
        <f t="shared" si="29"/>
        <v>0,0,0,0,0,0,0,0,0,0</v>
      </c>
      <c r="AY56" s="31"/>
      <c r="AZ56" s="9" t="str">
        <f t="shared" si="30"/>
        <v>2010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2011</v>
      </c>
      <c r="BN56" t="s">
        <v>14</v>
      </c>
      <c r="BO56" s="8" t="str">
        <f t="shared" si="41"/>
        <v>8,0,0,0,0,0,0,0,0,8</v>
      </c>
      <c r="BP56"/>
      <c r="BQ56" s="9" t="str">
        <f t="shared" si="42"/>
        <v>2011 DATA 8,0,0,0,0,0,0,0,0,8</v>
      </c>
      <c r="BT56" s="9" t="s">
        <v>147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2012</v>
      </c>
      <c r="AW57" t="s">
        <v>14</v>
      </c>
      <c r="AX57" s="8" t="str">
        <f t="shared" si="29"/>
        <v>0,0,0,0,0,0,0,0,0,0</v>
      </c>
      <c r="AY57" s="31"/>
      <c r="AZ57" s="9" t="str">
        <f t="shared" si="30"/>
        <v>2012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2013</v>
      </c>
      <c r="BN57" t="s">
        <v>14</v>
      </c>
      <c r="BO57" s="8" t="str">
        <f t="shared" si="41"/>
        <v>8,0,0,0,0,0,0,0,0,8</v>
      </c>
      <c r="BP57"/>
      <c r="BQ57" s="9" t="str">
        <f t="shared" si="42"/>
        <v>2013 DATA 8,0,0,0,0,0,0,0,0,8</v>
      </c>
      <c r="BT57" s="9" t="s">
        <v>148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2014</v>
      </c>
      <c r="AW58" t="s">
        <v>14</v>
      </c>
      <c r="AX58" s="8" t="str">
        <f t="shared" si="29"/>
        <v>0,0,0,0,0,0,0,0,0,0</v>
      </c>
      <c r="AY58" s="31"/>
      <c r="AZ58" s="9" t="str">
        <f t="shared" si="30"/>
        <v>2014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2015</v>
      </c>
      <c r="BN58" t="s">
        <v>14</v>
      </c>
      <c r="BO58" s="8" t="str">
        <f t="shared" si="41"/>
        <v>8,0,0,0,0,0,0,0,0,8</v>
      </c>
      <c r="BP58"/>
      <c r="BQ58" s="9" t="str">
        <f t="shared" si="42"/>
        <v>2015 DATA 8,0,0,0,0,0,0,0,0,8</v>
      </c>
      <c r="BT58" s="9" t="s">
        <v>149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2016</v>
      </c>
      <c r="AW59" t="s">
        <v>14</v>
      </c>
      <c r="AX59" s="8" t="str">
        <f t="shared" si="29"/>
        <v>0,0,0,0,0,0,0,0,0,0</v>
      </c>
      <c r="AY59" s="31"/>
      <c r="AZ59" s="9" t="str">
        <f t="shared" si="30"/>
        <v>2016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2017</v>
      </c>
      <c r="BN59" t="s">
        <v>14</v>
      </c>
      <c r="BO59" s="8" t="str">
        <f t="shared" si="41"/>
        <v>8,0,0,0,0,0,0,0,0,8</v>
      </c>
      <c r="BP59"/>
      <c r="BQ59" s="9" t="str">
        <f t="shared" si="42"/>
        <v>2017 DATA 8,0,0,0,0,0,0,0,0,8</v>
      </c>
      <c r="BT59" s="9" t="s">
        <v>150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2018</v>
      </c>
      <c r="AW60" t="s">
        <v>14</v>
      </c>
      <c r="AX60" s="8" t="str">
        <f t="shared" si="29"/>
        <v>0,0,0,0,0,0,0,0,0,0</v>
      </c>
      <c r="AY60" s="31"/>
      <c r="AZ60" s="9" t="str">
        <f t="shared" si="30"/>
        <v>2018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2019</v>
      </c>
      <c r="BN60" t="s">
        <v>14</v>
      </c>
      <c r="BO60" s="8" t="str">
        <f t="shared" si="41"/>
        <v>8,0,0,0,0,0,0,0,0,8</v>
      </c>
      <c r="BP60"/>
      <c r="BQ60" s="9" t="str">
        <f t="shared" si="42"/>
        <v>2019 DATA 8,0,0,0,0,0,0,0,0,8</v>
      </c>
      <c r="BT60" s="9" t="s">
        <v>151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2020</v>
      </c>
      <c r="AW61" t="s">
        <v>14</v>
      </c>
      <c r="AX61" s="8" t="str">
        <f t="shared" si="29"/>
        <v>0,0,0,0,0,0,0,0,0,0</v>
      </c>
      <c r="AY61" s="31"/>
      <c r="AZ61" s="9" t="str">
        <f t="shared" si="30"/>
        <v>2020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2021</v>
      </c>
      <c r="BN61" t="s">
        <v>14</v>
      </c>
      <c r="BO61" s="8" t="str">
        <f t="shared" si="41"/>
        <v>8,0,0,0,0,0,0,0,0,8</v>
      </c>
      <c r="BP61"/>
      <c r="BQ61" s="9" t="str">
        <f t="shared" si="42"/>
        <v>2021 DATA 8,0,0,0,0,0,0,0,0,8</v>
      </c>
      <c r="BT61" s="9" t="s">
        <v>152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2022</v>
      </c>
      <c r="AW62" t="s">
        <v>14</v>
      </c>
      <c r="AX62" s="8" t="str">
        <f t="shared" si="29"/>
        <v>0,0,0,0,0,0,0,0,0,0</v>
      </c>
      <c r="AY62" s="31"/>
      <c r="AZ62" s="9" t="str">
        <f t="shared" si="30"/>
        <v>2022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2023</v>
      </c>
      <c r="BN62" t="s">
        <v>14</v>
      </c>
      <c r="BO62" s="8" t="str">
        <f t="shared" si="41"/>
        <v>8,0,0,0,0,0,0,0,0,8</v>
      </c>
      <c r="BP62"/>
      <c r="BQ62" s="9" t="str">
        <f t="shared" si="42"/>
        <v>2023 DATA 8,0,0,0,0,0,0,0,0,8</v>
      </c>
      <c r="BT62" s="9" t="s">
        <v>153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2024</v>
      </c>
      <c r="AW63" t="s">
        <v>14</v>
      </c>
      <c r="AX63" s="8" t="str">
        <f t="shared" si="29"/>
        <v>0,0,0,0,0,0,0,0,0,0</v>
      </c>
      <c r="AY63" s="31"/>
      <c r="AZ63" s="9" t="str">
        <f t="shared" si="30"/>
        <v>2024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2025</v>
      </c>
      <c r="BN63" t="s">
        <v>14</v>
      </c>
      <c r="BO63" s="8" t="str">
        <f t="shared" si="41"/>
        <v>8,0,0,0,0,0,0,0,0,8</v>
      </c>
      <c r="BP63"/>
      <c r="BQ63" s="9" t="str">
        <f t="shared" si="42"/>
        <v>2025 DATA 8,0,0,0,0,0,0,0,0,8</v>
      </c>
      <c r="BT63" s="9" t="s">
        <v>154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2026</v>
      </c>
      <c r="AW64" t="s">
        <v>14</v>
      </c>
      <c r="AX64" s="8" t="str">
        <f t="shared" si="29"/>
        <v>0,0,0,0,0,0,0,0,0,0</v>
      </c>
      <c r="AY64" s="31"/>
      <c r="AZ64" s="9" t="str">
        <f t="shared" si="30"/>
        <v>2026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2027</v>
      </c>
      <c r="BN64" t="s">
        <v>14</v>
      </c>
      <c r="BO64" s="8" t="str">
        <f t="shared" si="41"/>
        <v>8,0,0,0,0,0,0,0,0,8</v>
      </c>
      <c r="BP64"/>
      <c r="BQ64" s="9" t="str">
        <f t="shared" si="42"/>
        <v>2027 DATA 8,0,0,0,0,0,0,0,0,8</v>
      </c>
      <c r="BT64" s="9" t="s">
        <v>155</v>
      </c>
    </row>
    <row r="65" spans="19:69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2028</v>
      </c>
      <c r="AW65" t="s">
        <v>14</v>
      </c>
      <c r="AX65" s="8" t="str">
        <f t="shared" si="29"/>
        <v>0,0,0,0,0,0,0,0,0,0</v>
      </c>
      <c r="AY65" s="31"/>
      <c r="AZ65" s="9" t="str">
        <f t="shared" si="30"/>
        <v>2028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2029</v>
      </c>
      <c r="BN65" t="s">
        <v>14</v>
      </c>
      <c r="BO65" s="8" t="str">
        <f t="shared" si="41"/>
        <v>8,0,0,0,0,0,0,0,0,8</v>
      </c>
      <c r="BP65"/>
      <c r="BQ65" s="9" t="str">
        <f t="shared" si="42"/>
        <v>2029 DATA 8,0,0,0,0,0,0,0,0,8</v>
      </c>
    </row>
    <row r="66" spans="19:69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2030</v>
      </c>
      <c r="AW66" t="s">
        <v>14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2030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2031</v>
      </c>
      <c r="BN66" t="s">
        <v>14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2031 DATA 8,0,0,0,0,0,0,0,0,8</v>
      </c>
    </row>
    <row r="67" spans="19:69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2032</v>
      </c>
      <c r="AW67" t="s">
        <v>14</v>
      </c>
      <c r="AX67" s="8" t="str">
        <f t="shared" si="72"/>
        <v>0,0,0,0,0,0,0,0,0,0</v>
      </c>
      <c r="AY67" s="31"/>
      <c r="AZ67" s="9" t="str">
        <f t="shared" si="73"/>
        <v>2032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2033</v>
      </c>
      <c r="BN67" t="s">
        <v>14</v>
      </c>
      <c r="BO67" s="8" t="str">
        <f t="shared" si="84"/>
        <v>8,0,0,0,0,0,0,0,0,8</v>
      </c>
      <c r="BP67"/>
      <c r="BQ67" s="9" t="str">
        <f t="shared" si="85"/>
        <v>2033 DATA 8,0,0,0,0,0,0,0,0,8</v>
      </c>
    </row>
    <row r="68" spans="19:69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2034</v>
      </c>
      <c r="AW68" t="s">
        <v>14</v>
      </c>
      <c r="AX68" s="8" t="str">
        <f t="shared" si="72"/>
        <v>0,0,0,0,0,0,0,0,0,0</v>
      </c>
      <c r="AY68" s="31"/>
      <c r="AZ68" s="9" t="str">
        <f t="shared" si="73"/>
        <v>2034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2035</v>
      </c>
      <c r="BN68" t="s">
        <v>14</v>
      </c>
      <c r="BO68" s="8" t="str">
        <f t="shared" si="84"/>
        <v>8,0,0,0,0,0,0,0,0,8</v>
      </c>
      <c r="BP68"/>
      <c r="BQ68" s="9" t="str">
        <f t="shared" si="85"/>
        <v>2035 DATA 8,0,0,0,0,0,0,0,0,8</v>
      </c>
    </row>
    <row r="69" spans="19:69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2036</v>
      </c>
      <c r="AW69" t="s">
        <v>14</v>
      </c>
      <c r="AX69" s="8" t="str">
        <f t="shared" si="72"/>
        <v>0,0,0,0,0,0,0,0,0,0</v>
      </c>
      <c r="AY69" s="31"/>
      <c r="AZ69" s="9" t="str">
        <f t="shared" si="73"/>
        <v>2036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2037</v>
      </c>
      <c r="BN69" t="s">
        <v>14</v>
      </c>
      <c r="BO69" s="8" t="str">
        <f t="shared" si="84"/>
        <v>8,0,0,0,0,0,0,0,0,8</v>
      </c>
      <c r="BP69"/>
      <c r="BQ69" s="9" t="str">
        <f t="shared" si="85"/>
        <v>2037 DATA 8,0,0,0,0,0,0,0,0,8</v>
      </c>
    </row>
    <row r="70" spans="19:69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2038</v>
      </c>
      <c r="AW70" t="s">
        <v>14</v>
      </c>
      <c r="AX70" s="8" t="str">
        <f t="shared" si="72"/>
        <v>0,0,0,0,0,0,0,0,0,0</v>
      </c>
      <c r="AY70" s="31"/>
      <c r="AZ70" s="9" t="str">
        <f t="shared" si="73"/>
        <v>2038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2039</v>
      </c>
      <c r="BN70" t="s">
        <v>14</v>
      </c>
      <c r="BO70" s="8" t="str">
        <f t="shared" si="84"/>
        <v>8,0,0,0,0,0,0,0,0,8</v>
      </c>
      <c r="BP70"/>
      <c r="BQ70" s="9" t="str">
        <f t="shared" si="85"/>
        <v>2039 DATA 8,0,0,0,0,0,0,0,0,8</v>
      </c>
    </row>
    <row r="71" spans="19:69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2040</v>
      </c>
      <c r="AW71" t="s">
        <v>14</v>
      </c>
      <c r="AX71" s="8" t="str">
        <f t="shared" si="72"/>
        <v>0,0,0,0,0,0,0,0,0,0</v>
      </c>
      <c r="AY71" s="31"/>
      <c r="AZ71" s="9" t="str">
        <f t="shared" si="73"/>
        <v>2040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2041</v>
      </c>
      <c r="BN71" t="s">
        <v>14</v>
      </c>
      <c r="BO71" s="8" t="str">
        <f t="shared" si="84"/>
        <v>8,0,0,0,0,0,0,0,0,8</v>
      </c>
      <c r="BP71"/>
      <c r="BQ71" s="9" t="str">
        <f t="shared" si="85"/>
        <v>2041 DATA 8,0,0,0,0,0,0,0,0,8</v>
      </c>
    </row>
    <row r="72" spans="19:69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2042</v>
      </c>
      <c r="AW72" t="s">
        <v>14</v>
      </c>
      <c r="AX72" s="8" t="str">
        <f t="shared" si="72"/>
        <v>0,0,0,0,0,0,0,0,0,0</v>
      </c>
      <c r="AY72" s="31"/>
      <c r="AZ72" s="9" t="str">
        <f t="shared" si="73"/>
        <v>2042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2043</v>
      </c>
      <c r="BN72" t="s">
        <v>14</v>
      </c>
      <c r="BO72" s="8" t="str">
        <f t="shared" si="84"/>
        <v>8,0,0,0,0,0,0,0,0,8</v>
      </c>
      <c r="BP72"/>
      <c r="BQ72" s="9" t="str">
        <f t="shared" si="85"/>
        <v>2043 DATA 8,0,0,0,0,0,0,0,0,8</v>
      </c>
    </row>
    <row r="73" spans="19:69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2044</v>
      </c>
      <c r="AW73" t="s">
        <v>14</v>
      </c>
      <c r="AX73" s="8" t="str">
        <f t="shared" si="72"/>
        <v>0,0,0,0,0,0,0,0,0,0</v>
      </c>
      <c r="AY73" s="31"/>
      <c r="AZ73" s="9" t="str">
        <f t="shared" si="73"/>
        <v>2044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2045</v>
      </c>
      <c r="BN73" t="s">
        <v>14</v>
      </c>
      <c r="BO73" s="8" t="str">
        <f t="shared" si="84"/>
        <v>8,0,0,0,0,0,0,0,0,8</v>
      </c>
      <c r="BP73"/>
      <c r="BQ73" s="9" t="str">
        <f t="shared" si="85"/>
        <v>2045 DATA 8,0,0,0,0,0,0,0,0,8</v>
      </c>
    </row>
    <row r="74" spans="19:69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2046</v>
      </c>
      <c r="AW74" t="s">
        <v>14</v>
      </c>
      <c r="AX74" s="8" t="str">
        <f t="shared" si="72"/>
        <v>0,0,0,0,0,0,0,0,0,0</v>
      </c>
      <c r="AY74" s="31"/>
      <c r="AZ74" s="9" t="str">
        <f t="shared" si="73"/>
        <v>2046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2047</v>
      </c>
      <c r="BN74" t="s">
        <v>14</v>
      </c>
      <c r="BO74" s="8" t="str">
        <f t="shared" si="84"/>
        <v>8,0,0,0,0,0,0,0,0,8</v>
      </c>
      <c r="BP74"/>
      <c r="BQ74" s="9" t="str">
        <f t="shared" si="85"/>
        <v>2047 DATA 8,0,0,0,0,0,0,0,0,8</v>
      </c>
    </row>
    <row r="75" spans="19:69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2048</v>
      </c>
      <c r="AW75" t="s">
        <v>14</v>
      </c>
      <c r="AX75" s="8" t="str">
        <f t="shared" si="72"/>
        <v>0,0,0,0,0,0,0,0,0,0</v>
      </c>
      <c r="AY75" s="31"/>
      <c r="AZ75" s="9" t="str">
        <f t="shared" si="73"/>
        <v>2048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2049</v>
      </c>
      <c r="BN75" t="s">
        <v>14</v>
      </c>
      <c r="BO75" s="8" t="str">
        <f t="shared" si="84"/>
        <v>8,0,0,0,0,0,0,0,0,8</v>
      </c>
      <c r="BP75"/>
      <c r="BQ75" s="9" t="str">
        <f t="shared" si="85"/>
        <v>2049 DATA 8,0,0,0,0,0,0,0,0,8</v>
      </c>
    </row>
    <row r="76" spans="19:69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2050</v>
      </c>
      <c r="AW76" t="s">
        <v>14</v>
      </c>
      <c r="AX76" s="8" t="str">
        <f t="shared" si="72"/>
        <v>0,0,0,0,0,0,0,0,0,0</v>
      </c>
      <c r="AY76" s="31"/>
      <c r="AZ76" s="9" t="str">
        <f t="shared" si="73"/>
        <v>2050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2051</v>
      </c>
      <c r="BN76" t="s">
        <v>14</v>
      </c>
      <c r="BO76" s="8" t="str">
        <f t="shared" si="84"/>
        <v>8,0,0,0,0,0,0,0,0,8</v>
      </c>
      <c r="BP76"/>
      <c r="BQ76" s="9" t="str">
        <f t="shared" si="85"/>
        <v>2051 DATA 8,0,0,0,0,0,0,0,0,8</v>
      </c>
    </row>
    <row r="77" spans="19:69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2052</v>
      </c>
      <c r="AW77" t="s">
        <v>14</v>
      </c>
      <c r="AX77" s="8" t="str">
        <f t="shared" si="72"/>
        <v>0,0,0,0,0,0,0,0,0,0</v>
      </c>
      <c r="AY77" s="31"/>
      <c r="AZ77" s="9" t="str">
        <f t="shared" si="73"/>
        <v>2052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2053</v>
      </c>
      <c r="BN77" t="s">
        <v>14</v>
      </c>
      <c r="BO77" s="8" t="str">
        <f t="shared" si="84"/>
        <v>8,0,0,0,0,0,0,0,0,8</v>
      </c>
      <c r="BP77"/>
      <c r="BQ77" s="9" t="str">
        <f t="shared" si="85"/>
        <v>2053 DATA 8,0,0,0,0,0,0,0,0,8</v>
      </c>
    </row>
    <row r="78" spans="19:69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2054</v>
      </c>
      <c r="AW78" t="s">
        <v>14</v>
      </c>
      <c r="AX78" s="8" t="str">
        <f t="shared" si="72"/>
        <v>0,0,0,0,0,0,0,0,0,0</v>
      </c>
      <c r="AY78" s="31"/>
      <c r="AZ78" s="9" t="str">
        <f t="shared" si="73"/>
        <v>2054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2055</v>
      </c>
      <c r="BN78" t="s">
        <v>14</v>
      </c>
      <c r="BO78" s="8" t="str">
        <f t="shared" si="84"/>
        <v>8,0,0,0,0,0,0,0,0,8</v>
      </c>
      <c r="BP78"/>
      <c r="BQ78" s="9" t="str">
        <f t="shared" si="85"/>
        <v>2055 DATA 8,0,0,0,0,0,0,0,0,8</v>
      </c>
    </row>
    <row r="79" spans="19:69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2056</v>
      </c>
      <c r="AW79" t="s">
        <v>14</v>
      </c>
      <c r="AX79" s="8" t="str">
        <f t="shared" si="72"/>
        <v>0,0,0,0,0,0,0,0,0,0</v>
      </c>
      <c r="AY79" s="31"/>
      <c r="AZ79" s="9" t="str">
        <f t="shared" si="73"/>
        <v>2056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2057</v>
      </c>
      <c r="BN79" t="s">
        <v>14</v>
      </c>
      <c r="BO79" s="8" t="str">
        <f t="shared" si="84"/>
        <v>8,0,0,0,0,0,0,0,0,8</v>
      </c>
      <c r="BP79"/>
      <c r="BQ79" s="9" t="str">
        <f t="shared" si="85"/>
        <v>2057 DATA 8,0,0,0,0,0,0,0,0,8</v>
      </c>
    </row>
    <row r="80" spans="19:69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2058</v>
      </c>
      <c r="AW80" t="s">
        <v>14</v>
      </c>
      <c r="AX80" s="8" t="str">
        <f t="shared" si="72"/>
        <v>0,0,0,0,0,0,0,0,0,0</v>
      </c>
      <c r="AY80" s="31"/>
      <c r="AZ80" s="9" t="str">
        <f t="shared" si="73"/>
        <v>2058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2059</v>
      </c>
      <c r="BN80" t="s">
        <v>14</v>
      </c>
      <c r="BO80" s="8" t="str">
        <f t="shared" si="84"/>
        <v>8,0,0,0,0,0,0,0,0,8</v>
      </c>
      <c r="BP80"/>
      <c r="BQ80" s="9" t="str">
        <f t="shared" si="85"/>
        <v>2059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2060</v>
      </c>
      <c r="AW81" t="s">
        <v>14</v>
      </c>
      <c r="AX81" s="8" t="str">
        <f t="shared" si="72"/>
        <v>0,0,0,0,0,0,0,0,0,0</v>
      </c>
      <c r="AY81" s="31"/>
      <c r="AZ81" s="9" t="str">
        <f t="shared" si="73"/>
        <v>2060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2061</v>
      </c>
      <c r="BN81" t="s">
        <v>14</v>
      </c>
      <c r="BO81" s="8" t="str">
        <f t="shared" si="84"/>
        <v>8,0,0,0,0,0,0,0,0,8</v>
      </c>
      <c r="BP81"/>
      <c r="BQ81" s="9" t="str">
        <f t="shared" si="85"/>
        <v>2061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2062</v>
      </c>
      <c r="AW82" t="s">
        <v>14</v>
      </c>
      <c r="AX82" s="8" t="str">
        <f t="shared" si="72"/>
        <v>0,0,0,0,0,0,0,0,0,0</v>
      </c>
      <c r="AY82" s="31"/>
      <c r="AZ82" s="9" t="str">
        <f t="shared" si="73"/>
        <v>2062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2063</v>
      </c>
      <c r="BN82" t="s">
        <v>14</v>
      </c>
      <c r="BO82" s="8" t="str">
        <f t="shared" si="84"/>
        <v>8,0,0,0,0,0,0,0,0,8</v>
      </c>
      <c r="BP82"/>
      <c r="BQ82" s="9" t="str">
        <f t="shared" si="85"/>
        <v>2063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2064</v>
      </c>
      <c r="AW83" t="s">
        <v>14</v>
      </c>
      <c r="AX83" s="8" t="str">
        <f t="shared" si="72"/>
        <v>0,0,0,0,0,0,0,0,0,0</v>
      </c>
      <c r="AY83" s="31"/>
      <c r="AZ83" s="9" t="str">
        <f t="shared" si="73"/>
        <v>2064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2065</v>
      </c>
      <c r="BN83" t="s">
        <v>14</v>
      </c>
      <c r="BO83" s="8" t="str">
        <f t="shared" si="84"/>
        <v>8,0,0,0,0,0,0,0,0,8</v>
      </c>
      <c r="BP83"/>
      <c r="BQ83" s="9" t="str">
        <f t="shared" si="85"/>
        <v>2065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2066</v>
      </c>
      <c r="AW84" t="s">
        <v>14</v>
      </c>
      <c r="AX84" s="8" t="str">
        <f t="shared" si="72"/>
        <v>0,0,0,0,0,0,0,0,0,0</v>
      </c>
      <c r="AY84" s="31"/>
      <c r="AZ84" s="9" t="str">
        <f t="shared" si="73"/>
        <v>2066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2067</v>
      </c>
      <c r="BN84" t="s">
        <v>14</v>
      </c>
      <c r="BO84" s="8" t="str">
        <f t="shared" si="84"/>
        <v>8,0,0,0,0,0,0,0,0,8</v>
      </c>
      <c r="BP84"/>
      <c r="BQ84" s="9" t="str">
        <f t="shared" si="85"/>
        <v>2067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2068</v>
      </c>
      <c r="AW85" t="s">
        <v>14</v>
      </c>
      <c r="AX85" s="8" t="str">
        <f t="shared" si="72"/>
        <v>0,0,0,0,0,0,0,0,0,0</v>
      </c>
      <c r="AY85" s="31"/>
      <c r="AZ85" s="9" t="str">
        <f t="shared" si="73"/>
        <v>2068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2069</v>
      </c>
      <c r="BN85" t="s">
        <v>14</v>
      </c>
      <c r="BO85" s="8" t="str">
        <f t="shared" si="84"/>
        <v>8,0,0,0,0,0,0,0,0,8</v>
      </c>
      <c r="BP85"/>
      <c r="BQ85" s="9" t="str">
        <f t="shared" si="85"/>
        <v>2069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2070</v>
      </c>
      <c r="AW86" t="s">
        <v>14</v>
      </c>
      <c r="AX86" s="8" t="str">
        <f t="shared" si="72"/>
        <v>0,0,0,0,0,0,0,0,0,0</v>
      </c>
      <c r="AY86" s="31"/>
      <c r="AZ86" s="9" t="str">
        <f t="shared" si="73"/>
        <v>2070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2071</v>
      </c>
      <c r="BN86" t="s">
        <v>14</v>
      </c>
      <c r="BO86" s="8" t="str">
        <f t="shared" si="84"/>
        <v>8,0,0,0,0,0,0,0,0,8</v>
      </c>
      <c r="BP86"/>
      <c r="BQ86" s="9" t="str">
        <f t="shared" si="85"/>
        <v>2071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2072</v>
      </c>
      <c r="AW87" t="s">
        <v>14</v>
      </c>
      <c r="AX87" s="8" t="str">
        <f t="shared" si="72"/>
        <v>0,0,0,0,0,0,0,0,0,0</v>
      </c>
      <c r="AY87" s="31"/>
      <c r="AZ87" s="9" t="str">
        <f t="shared" si="73"/>
        <v>2072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2073</v>
      </c>
      <c r="BN87" t="s">
        <v>14</v>
      </c>
      <c r="BO87" s="8" t="str">
        <f t="shared" si="84"/>
        <v>8,0,0,0,0,0,0,0,0,8</v>
      </c>
      <c r="BP87"/>
      <c r="BQ87" s="9" t="str">
        <f t="shared" si="85"/>
        <v>2073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2074</v>
      </c>
      <c r="AW88" t="s">
        <v>14</v>
      </c>
      <c r="AX88" s="8" t="str">
        <f t="shared" si="72"/>
        <v>0,0,0,0,0,0,0,0,0,0</v>
      </c>
      <c r="AY88" s="31"/>
      <c r="AZ88" s="9" t="str">
        <f t="shared" si="73"/>
        <v>2074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2075</v>
      </c>
      <c r="BN88" t="s">
        <v>14</v>
      </c>
      <c r="BO88" s="8" t="str">
        <f t="shared" si="84"/>
        <v>8,0,0,0,0,0,0,0,0,8</v>
      </c>
      <c r="BP88"/>
      <c r="BQ88" s="9" t="str">
        <f t="shared" si="85"/>
        <v>2075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2076</v>
      </c>
      <c r="AW89" t="s">
        <v>14</v>
      </c>
      <c r="AX89" s="8" t="str">
        <f t="shared" si="72"/>
        <v>0,0,0,0,0,0,0,0,0,0</v>
      </c>
      <c r="AY89" s="31"/>
      <c r="AZ89" s="9" t="str">
        <f t="shared" si="73"/>
        <v>2076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2077</v>
      </c>
      <c r="BN89" t="s">
        <v>14</v>
      </c>
      <c r="BO89" s="8" t="str">
        <f t="shared" si="84"/>
        <v>8,0,0,0,0,0,0,0,0,8</v>
      </c>
      <c r="BP89"/>
      <c r="BQ89" s="9" t="str">
        <f t="shared" si="85"/>
        <v>2077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2078</v>
      </c>
      <c r="AW90" t="s">
        <v>14</v>
      </c>
      <c r="AX90" s="8" t="str">
        <f t="shared" si="72"/>
        <v>0,0,0,0,0,0,0,0,0,0</v>
      </c>
      <c r="AY90" s="31"/>
      <c r="AZ90" s="9" t="str">
        <f t="shared" si="73"/>
        <v>2078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2079</v>
      </c>
      <c r="BN90" t="s">
        <v>14</v>
      </c>
      <c r="BO90" s="8" t="str">
        <f t="shared" si="84"/>
        <v>8,0,0,0,0,0,0,0,0,8</v>
      </c>
      <c r="BP90"/>
      <c r="BQ90" s="9" t="str">
        <f t="shared" si="85"/>
        <v>2079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2080</v>
      </c>
      <c r="AW91" t="s">
        <v>14</v>
      </c>
      <c r="AX91" s="8" t="str">
        <f t="shared" si="72"/>
        <v>0,0,0,0,0,0,0,0,0,0</v>
      </c>
      <c r="AY91" s="31"/>
      <c r="AZ91" s="9" t="str">
        <f t="shared" si="73"/>
        <v>2080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2081</v>
      </c>
      <c r="BN91" t="s">
        <v>14</v>
      </c>
      <c r="BO91" s="8" t="str">
        <f t="shared" si="84"/>
        <v>8,0,0,0,0,0,0,0,0,8</v>
      </c>
      <c r="BP91"/>
      <c r="BQ91" s="9" t="str">
        <f t="shared" si="85"/>
        <v>2081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2082</v>
      </c>
      <c r="AW92" t="s">
        <v>14</v>
      </c>
      <c r="AX92" s="8" t="str">
        <f t="shared" si="72"/>
        <v>0,0,0,0,0,0,0,0,0,0</v>
      </c>
      <c r="AY92" s="31"/>
      <c r="AZ92" s="9" t="str">
        <f t="shared" si="73"/>
        <v>2082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2083</v>
      </c>
      <c r="BN92" t="s">
        <v>14</v>
      </c>
      <c r="BO92" s="8" t="str">
        <f t="shared" si="84"/>
        <v>8,0,0,0,0,0,0,0,0,8</v>
      </c>
      <c r="BP92"/>
      <c r="BQ92" s="9" t="str">
        <f t="shared" si="85"/>
        <v>2083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2084</v>
      </c>
      <c r="AW93" t="s">
        <v>14</v>
      </c>
      <c r="AX93" s="8" t="str">
        <f t="shared" si="72"/>
        <v>0,0,0,0,0,0,0,0,0,0</v>
      </c>
      <c r="AY93" s="31"/>
      <c r="AZ93" s="9" t="str">
        <f t="shared" si="73"/>
        <v>2084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2085</v>
      </c>
      <c r="BN93" t="s">
        <v>14</v>
      </c>
      <c r="BO93" s="8" t="str">
        <f t="shared" si="84"/>
        <v>8,0,0,0,0,0,0,0,0,8</v>
      </c>
      <c r="BP93"/>
      <c r="BQ93" s="9" t="str">
        <f t="shared" si="85"/>
        <v>2085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2086</v>
      </c>
      <c r="AW94" t="s">
        <v>14</v>
      </c>
      <c r="AX94" s="8" t="str">
        <f t="shared" si="72"/>
        <v>0,0,0,0,0,0,0,0,0,0</v>
      </c>
      <c r="AY94" s="31"/>
      <c r="AZ94" s="9" t="str">
        <f t="shared" si="73"/>
        <v>2086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2087</v>
      </c>
      <c r="BN94" t="s">
        <v>14</v>
      </c>
      <c r="BO94" s="8" t="str">
        <f t="shared" si="84"/>
        <v>8,0,0,0,0,0,0,0,0,8</v>
      </c>
      <c r="BP94"/>
      <c r="BQ94" s="9" t="str">
        <f t="shared" si="85"/>
        <v>2087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2088</v>
      </c>
      <c r="AW95" t="s">
        <v>14</v>
      </c>
      <c r="AX95" s="8" t="str">
        <f t="shared" si="72"/>
        <v>0,0,0,0,0,0,0,0,0,0</v>
      </c>
      <c r="AY95" s="31"/>
      <c r="AZ95" s="9" t="str">
        <f t="shared" si="73"/>
        <v>2088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2089</v>
      </c>
      <c r="BN95" t="s">
        <v>14</v>
      </c>
      <c r="BO95" s="8" t="str">
        <f t="shared" si="84"/>
        <v>8,0,0,0,0,0,0,0,0,8</v>
      </c>
      <c r="BP95"/>
      <c r="BQ95" s="9" t="str">
        <f t="shared" si="85"/>
        <v>2089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2090</v>
      </c>
      <c r="AW96" t="s">
        <v>14</v>
      </c>
      <c r="AX96" s="8" t="str">
        <f t="shared" si="72"/>
        <v>0,0,0,0,0,0,0,0,0,0</v>
      </c>
      <c r="AY96" s="31"/>
      <c r="AZ96" s="9" t="str">
        <f t="shared" si="73"/>
        <v>2090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2091</v>
      </c>
      <c r="BN96" t="s">
        <v>14</v>
      </c>
      <c r="BO96" s="8" t="str">
        <f t="shared" si="84"/>
        <v>8,0,0,0,0,0,0,0,0,8</v>
      </c>
      <c r="BP96"/>
      <c r="BQ96" s="9" t="str">
        <f t="shared" si="85"/>
        <v>2091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2092</v>
      </c>
      <c r="AW97" t="s">
        <v>14</v>
      </c>
      <c r="AX97" s="8" t="str">
        <f t="shared" si="72"/>
        <v>0,0,0,0,0,0,0,0,0,0</v>
      </c>
      <c r="AY97" s="31"/>
      <c r="AZ97" s="9" t="str">
        <f t="shared" si="73"/>
        <v>2092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2093</v>
      </c>
      <c r="BN97" t="s">
        <v>14</v>
      </c>
      <c r="BO97" s="8" t="str">
        <f t="shared" si="84"/>
        <v>8,0,0,0,0,0,0,0,0,8</v>
      </c>
      <c r="BP97"/>
      <c r="BQ97" s="9" t="str">
        <f t="shared" si="85"/>
        <v>2093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2094</v>
      </c>
      <c r="AW98" t="s">
        <v>14</v>
      </c>
      <c r="AX98" s="8" t="str">
        <f t="shared" si="72"/>
        <v>0,0,0,0,0,0,0,0,0,0</v>
      </c>
      <c r="AY98" s="31"/>
      <c r="AZ98" s="9" t="str">
        <f t="shared" si="73"/>
        <v>2094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2095</v>
      </c>
      <c r="BN98" t="s">
        <v>14</v>
      </c>
      <c r="BO98" s="8" t="str">
        <f t="shared" si="84"/>
        <v>8,0,0,0,0,0,0,0,0,8</v>
      </c>
      <c r="BP98"/>
      <c r="BQ98" s="9" t="str">
        <f t="shared" si="85"/>
        <v>2095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2096</v>
      </c>
      <c r="AW99" t="s">
        <v>14</v>
      </c>
      <c r="AX99" s="8" t="str">
        <f t="shared" si="72"/>
        <v>0,0,0,0,0,0,0,0,0,0</v>
      </c>
      <c r="AY99" s="31"/>
      <c r="AZ99" s="9" t="str">
        <f t="shared" si="73"/>
        <v>2096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2097</v>
      </c>
      <c r="BN99" t="s">
        <v>14</v>
      </c>
      <c r="BO99" s="8" t="str">
        <f t="shared" si="84"/>
        <v>8,0,0,0,0,0,0,0,0,8</v>
      </c>
      <c r="BP99"/>
      <c r="BQ99" s="9" t="str">
        <f t="shared" si="85"/>
        <v>2097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2098</v>
      </c>
      <c r="AW100" t="s">
        <v>14</v>
      </c>
      <c r="AX100" s="8" t="str">
        <f t="shared" si="72"/>
        <v>0,0,0,0,0,0,0,0,0,0</v>
      </c>
      <c r="AY100" s="31"/>
      <c r="AZ100" s="9" t="str">
        <f t="shared" si="73"/>
        <v>2098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2099</v>
      </c>
      <c r="BN100" t="s">
        <v>14</v>
      </c>
      <c r="BO100" s="8" t="str">
        <f t="shared" si="84"/>
        <v>8,0,0,0,0,0,0,0,0,8</v>
      </c>
      <c r="BP100"/>
      <c r="BQ100" s="9" t="str">
        <f t="shared" si="85"/>
        <v>2099 DATA 8,0,0,0,0,0,0,0,0,8</v>
      </c>
    </row>
    <row r="110" spans="1:72">
      <c r="A110">
        <f t="shared" ref="A110:A141" si="88">S1</f>
        <v>15872</v>
      </c>
      <c r="B110" s="3">
        <f t="shared" ref="B110:B141" si="89">T1</f>
        <v>0</v>
      </c>
      <c r="C110" s="3">
        <f t="shared" ref="C110:C141" si="90">U1</f>
        <v>0</v>
      </c>
      <c r="D110" s="3">
        <f t="shared" ref="D110:D141" si="91">V1</f>
        <v>32</v>
      </c>
      <c r="E110" s="3">
        <f t="shared" ref="E110:E141" si="92">W1</f>
        <v>15</v>
      </c>
      <c r="F110" s="3">
        <f t="shared" ref="F110:F141" si="93">X1</f>
        <v>62</v>
      </c>
      <c r="G110" s="3">
        <f t="shared" ref="G110:G141" si="94">Y1</f>
        <v>32</v>
      </c>
      <c r="H110" s="3">
        <f t="shared" ref="H110:H141" si="95">Z1</f>
        <v>55</v>
      </c>
      <c r="I110" s="3">
        <f t="shared" ref="I110:I141" si="96">AA1</f>
        <v>62</v>
      </c>
      <c r="J110" s="3">
        <f t="shared" ref="J110:J141" si="97">AB1</f>
        <v>32</v>
      </c>
      <c r="K110" s="3">
        <f t="shared" ref="K110:K141" si="98">AC1</f>
        <v>200</v>
      </c>
      <c r="L110" s="3">
        <f t="shared" ref="L110:L141" si="99">AD1</f>
        <v>62</v>
      </c>
      <c r="M110" s="3">
        <f t="shared" ref="M110:M141" si="100">AE1</f>
        <v>24</v>
      </c>
      <c r="N110" s="3">
        <f t="shared" ref="N110:N141" si="101">AF1</f>
        <v>24</v>
      </c>
      <c r="O110" s="3">
        <f t="shared" ref="O110:O141" si="102">AG1</f>
        <v>144</v>
      </c>
      <c r="P110" s="3">
        <f t="shared" ref="P110:P141" si="103">AH1</f>
        <v>246</v>
      </c>
      <c r="Q110" s="3">
        <f t="shared" ref="Q110:Q141" si="104">AI1</f>
        <v>32</v>
      </c>
      <c r="S110">
        <f t="shared" ref="S110:AA110" si="105">A110</f>
        <v>15872</v>
      </c>
      <c r="T110">
        <f t="shared" si="105"/>
        <v>0</v>
      </c>
      <c r="U110">
        <f t="shared" si="105"/>
        <v>0</v>
      </c>
      <c r="V110">
        <f t="shared" si="105"/>
        <v>32</v>
      </c>
      <c r="W110">
        <f t="shared" si="105"/>
        <v>15</v>
      </c>
      <c r="X110">
        <f t="shared" si="105"/>
        <v>62</v>
      </c>
      <c r="Y110">
        <f t="shared" si="105"/>
        <v>32</v>
      </c>
      <c r="Z110">
        <f t="shared" si="105"/>
        <v>55</v>
      </c>
      <c r="AA110">
        <f t="shared" si="105"/>
        <v>62</v>
      </c>
      <c r="AB110">
        <f>SUM(S110:AA110)</f>
        <v>16130</v>
      </c>
      <c r="AD110">
        <f>S110+8</f>
        <v>15880</v>
      </c>
      <c r="AE110" s="2">
        <f t="shared" ref="AE110:AI110" si="106">J110</f>
        <v>32</v>
      </c>
      <c r="AF110" s="2">
        <f t="shared" si="106"/>
        <v>200</v>
      </c>
      <c r="AG110" s="2">
        <f t="shared" si="106"/>
        <v>62</v>
      </c>
      <c r="AH110" s="2">
        <f t="shared" si="106"/>
        <v>24</v>
      </c>
      <c r="AI110" s="2">
        <f t="shared" si="106"/>
        <v>24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15888</v>
      </c>
      <c r="B111" s="3">
        <f t="shared" si="89"/>
        <v>8</v>
      </c>
      <c r="C111" s="3">
        <f t="shared" si="90"/>
        <v>52</v>
      </c>
      <c r="D111" s="3">
        <f t="shared" si="91"/>
        <v>32</v>
      </c>
      <c r="E111" s="3">
        <f t="shared" si="92"/>
        <v>228</v>
      </c>
      <c r="F111" s="3">
        <f t="shared" si="93"/>
        <v>52</v>
      </c>
      <c r="G111" s="3">
        <f t="shared" si="94"/>
        <v>127</v>
      </c>
      <c r="H111" s="3">
        <f t="shared" si="95"/>
        <v>13</v>
      </c>
      <c r="I111" s="3">
        <f t="shared" si="96"/>
        <v>10</v>
      </c>
      <c r="J111" s="3">
        <f t="shared" si="97"/>
        <v>10</v>
      </c>
      <c r="K111" s="3">
        <f t="shared" si="98"/>
        <v>83</v>
      </c>
      <c r="L111" s="3">
        <f t="shared" si="99"/>
        <v>69</v>
      </c>
      <c r="M111" s="3">
        <f t="shared" si="100"/>
        <v>84</v>
      </c>
      <c r="N111" s="3">
        <f t="shared" si="101"/>
        <v>32</v>
      </c>
      <c r="O111" s="3">
        <f t="shared" si="102"/>
        <v>85</v>
      </c>
      <c r="P111" s="3">
        <f t="shared" si="103"/>
        <v>80</v>
      </c>
      <c r="Q111" s="3">
        <f t="shared" si="104"/>
        <v>32</v>
      </c>
    </row>
    <row r="112" spans="1:72">
      <c r="A112">
        <f t="shared" si="88"/>
        <v>15904</v>
      </c>
      <c r="B112" s="3">
        <f t="shared" si="89"/>
        <v>69</v>
      </c>
      <c r="C112" s="3">
        <f t="shared" si="90"/>
        <v>68</v>
      </c>
      <c r="D112" s="3">
        <f t="shared" si="91"/>
        <v>73</v>
      </c>
      <c r="E112" s="3">
        <f t="shared" si="92"/>
        <v>84</v>
      </c>
      <c r="F112" s="3">
        <f t="shared" si="93"/>
        <v>32</v>
      </c>
      <c r="G112" s="3">
        <f t="shared" si="94"/>
        <v>66</v>
      </c>
      <c r="H112" s="3">
        <f t="shared" si="95"/>
        <v>85</v>
      </c>
      <c r="I112" s="3">
        <f t="shared" si="96"/>
        <v>70</v>
      </c>
      <c r="J112" s="3">
        <f t="shared" si="97"/>
        <v>70</v>
      </c>
      <c r="K112" s="3">
        <f t="shared" si="98"/>
        <v>69</v>
      </c>
      <c r="L112" s="3">
        <f t="shared" si="99"/>
        <v>82</v>
      </c>
      <c r="M112" s="3">
        <f t="shared" si="100"/>
        <v>46</v>
      </c>
      <c r="N112" s="3">
        <f t="shared" si="101"/>
        <v>13</v>
      </c>
      <c r="O112" s="3">
        <f t="shared" si="102"/>
        <v>10</v>
      </c>
      <c r="P112" s="3">
        <f t="shared" si="103"/>
        <v>10</v>
      </c>
      <c r="Q112" s="3">
        <f t="shared" si="104"/>
        <v>255</v>
      </c>
    </row>
    <row r="113" spans="1:17">
      <c r="A113">
        <f t="shared" si="88"/>
        <v>15920</v>
      </c>
      <c r="B113" s="3">
        <f t="shared" si="89"/>
        <v>32</v>
      </c>
      <c r="C113" s="3">
        <f t="shared" si="90"/>
        <v>227</v>
      </c>
      <c r="D113" s="3">
        <f t="shared" si="91"/>
        <v>53</v>
      </c>
      <c r="E113" s="3">
        <f t="shared" si="92"/>
        <v>32</v>
      </c>
      <c r="F113" s="3">
        <f t="shared" si="93"/>
        <v>154</v>
      </c>
      <c r="G113" s="3">
        <f t="shared" si="94"/>
        <v>55</v>
      </c>
      <c r="H113" s="3">
        <f t="shared" si="95"/>
        <v>96</v>
      </c>
      <c r="I113" s="3">
        <f t="shared" si="96"/>
        <v>32</v>
      </c>
      <c r="J113" s="3">
        <f t="shared" si="97"/>
        <v>196</v>
      </c>
      <c r="K113" s="3">
        <f t="shared" si="98"/>
        <v>49</v>
      </c>
      <c r="L113" s="3">
        <f t="shared" si="99"/>
        <v>32</v>
      </c>
      <c r="M113" s="3">
        <f t="shared" si="100"/>
        <v>43</v>
      </c>
      <c r="N113" s="3">
        <f t="shared" si="101"/>
        <v>49</v>
      </c>
      <c r="O113" s="3">
        <f t="shared" si="102"/>
        <v>174</v>
      </c>
      <c r="P113" s="3">
        <f t="shared" si="103"/>
        <v>3</v>
      </c>
      <c r="Q113" s="3">
        <f t="shared" si="104"/>
        <v>48</v>
      </c>
    </row>
    <row r="114" spans="1:17">
      <c r="A114">
        <f t="shared" si="88"/>
        <v>15936</v>
      </c>
      <c r="B114" s="3">
        <f t="shared" si="89"/>
        <v>160</v>
      </c>
      <c r="C114" s="3">
        <f t="shared" si="90"/>
        <v>3</v>
      </c>
      <c r="D114" s="3">
        <f t="shared" si="91"/>
        <v>32</v>
      </c>
      <c r="E114" s="3">
        <f t="shared" si="92"/>
        <v>19</v>
      </c>
      <c r="F114" s="3">
        <f t="shared" si="93"/>
        <v>49</v>
      </c>
      <c r="G114" s="3">
        <f t="shared" si="94"/>
        <v>32</v>
      </c>
      <c r="H114" s="3">
        <f t="shared" si="95"/>
        <v>43</v>
      </c>
      <c r="I114" s="3">
        <f t="shared" si="96"/>
        <v>49</v>
      </c>
      <c r="J114" s="3">
        <f t="shared" si="97"/>
        <v>32</v>
      </c>
      <c r="K114" s="3">
        <f t="shared" si="98"/>
        <v>118</v>
      </c>
      <c r="L114" s="3">
        <f t="shared" si="99"/>
        <v>49</v>
      </c>
      <c r="M114" s="3">
        <f t="shared" si="100"/>
        <v>32</v>
      </c>
      <c r="N114" s="3">
        <f t="shared" si="101"/>
        <v>196</v>
      </c>
      <c r="O114" s="3">
        <f t="shared" si="102"/>
        <v>49</v>
      </c>
      <c r="P114" s="3">
        <f t="shared" si="103"/>
        <v>32</v>
      </c>
      <c r="Q114" s="3">
        <f t="shared" si="104"/>
        <v>94</v>
      </c>
    </row>
    <row r="115" spans="1:17">
      <c r="A115">
        <f t="shared" si="88"/>
        <v>15952</v>
      </c>
      <c r="B115" s="3">
        <f t="shared" si="89"/>
        <v>62</v>
      </c>
      <c r="C115" s="3">
        <f t="shared" si="90"/>
        <v>32</v>
      </c>
      <c r="D115" s="3">
        <f t="shared" si="91"/>
        <v>211</v>
      </c>
      <c r="E115" s="3">
        <f t="shared" si="92"/>
        <v>49</v>
      </c>
      <c r="F115" s="3">
        <f t="shared" si="93"/>
        <v>32</v>
      </c>
      <c r="G115" s="3">
        <f t="shared" si="94"/>
        <v>118</v>
      </c>
      <c r="H115" s="3">
        <f t="shared" si="95"/>
        <v>49</v>
      </c>
      <c r="I115" s="3">
        <f t="shared" si="96"/>
        <v>32</v>
      </c>
      <c r="J115" s="3">
        <f t="shared" si="97"/>
        <v>136</v>
      </c>
      <c r="K115" s="3">
        <f t="shared" si="98"/>
        <v>62</v>
      </c>
      <c r="L115" s="3">
        <f t="shared" si="99"/>
        <v>32</v>
      </c>
      <c r="M115" s="3">
        <f t="shared" si="100"/>
        <v>211</v>
      </c>
      <c r="N115" s="3">
        <f t="shared" si="101"/>
        <v>49</v>
      </c>
      <c r="O115" s="3">
        <f t="shared" si="102"/>
        <v>96</v>
      </c>
      <c r="P115" s="3">
        <f t="shared" si="103"/>
        <v>32</v>
      </c>
      <c r="Q115" s="3">
        <f t="shared" si="104"/>
        <v>18</v>
      </c>
    </row>
    <row r="116" spans="1:17">
      <c r="A116">
        <f t="shared" si="88"/>
        <v>15968</v>
      </c>
      <c r="B116" s="3">
        <f t="shared" si="89"/>
        <v>53</v>
      </c>
      <c r="C116" s="3">
        <f t="shared" si="90"/>
        <v>173</v>
      </c>
      <c r="D116" s="3">
        <f t="shared" si="91"/>
        <v>3</v>
      </c>
      <c r="E116" s="3">
        <f t="shared" si="92"/>
        <v>48</v>
      </c>
      <c r="F116" s="3">
        <f t="shared" si="93"/>
        <v>74</v>
      </c>
      <c r="G116" s="3">
        <f t="shared" si="94"/>
        <v>170</v>
      </c>
      <c r="H116" s="3">
        <f t="shared" si="95"/>
        <v>202</v>
      </c>
      <c r="I116" s="3">
        <f t="shared" si="96"/>
        <v>32</v>
      </c>
      <c r="J116" s="3">
        <f t="shared" si="97"/>
        <v>26</v>
      </c>
      <c r="K116" s="3">
        <f t="shared" si="98"/>
        <v>51</v>
      </c>
      <c r="L116" s="3">
        <f t="shared" si="99"/>
        <v>202</v>
      </c>
      <c r="M116" s="3">
        <f t="shared" si="100"/>
        <v>16</v>
      </c>
      <c r="N116" s="3">
        <f t="shared" si="101"/>
        <v>250</v>
      </c>
      <c r="O116" s="3">
        <f t="shared" si="102"/>
        <v>173</v>
      </c>
      <c r="P116" s="3">
        <f t="shared" si="103"/>
        <v>3</v>
      </c>
      <c r="Q116" s="3">
        <f t="shared" si="104"/>
        <v>48</v>
      </c>
    </row>
    <row r="117" spans="1:17">
      <c r="A117">
        <f t="shared" si="88"/>
        <v>15984</v>
      </c>
      <c r="B117" s="3">
        <f t="shared" si="89"/>
        <v>141</v>
      </c>
      <c r="C117" s="3">
        <f t="shared" si="90"/>
        <v>0</v>
      </c>
      <c r="D117" s="3">
        <f t="shared" si="91"/>
        <v>62</v>
      </c>
      <c r="E117" s="3">
        <f t="shared" si="92"/>
        <v>32</v>
      </c>
      <c r="F117" s="3">
        <f t="shared" si="93"/>
        <v>149</v>
      </c>
      <c r="G117" s="3">
        <f t="shared" si="94"/>
        <v>50</v>
      </c>
      <c r="H117" s="3">
        <f t="shared" si="95"/>
        <v>32</v>
      </c>
      <c r="I117" s="3">
        <f t="shared" si="96"/>
        <v>155</v>
      </c>
      <c r="J117" s="3">
        <f t="shared" si="97"/>
        <v>49</v>
      </c>
      <c r="K117" s="3">
        <f t="shared" si="98"/>
        <v>32</v>
      </c>
      <c r="L117" s="3">
        <f t="shared" si="99"/>
        <v>127</v>
      </c>
      <c r="M117" s="3">
        <f t="shared" si="100"/>
        <v>49</v>
      </c>
      <c r="N117" s="3">
        <f t="shared" si="101"/>
        <v>32</v>
      </c>
      <c r="O117" s="3">
        <f t="shared" si="102"/>
        <v>13</v>
      </c>
      <c r="P117" s="3">
        <f t="shared" si="103"/>
        <v>51</v>
      </c>
      <c r="Q117" s="3">
        <f t="shared" si="104"/>
        <v>206</v>
      </c>
    </row>
    <row r="118" spans="1:17">
      <c r="A118">
        <f t="shared" si="88"/>
        <v>16000</v>
      </c>
      <c r="B118" s="3">
        <f t="shared" si="89"/>
        <v>0</v>
      </c>
      <c r="C118" s="3">
        <f t="shared" si="90"/>
        <v>62</v>
      </c>
      <c r="D118" s="3">
        <f t="shared" si="91"/>
        <v>16</v>
      </c>
      <c r="E118" s="3">
        <f t="shared" si="92"/>
        <v>239</v>
      </c>
      <c r="F118" s="3">
        <f t="shared" si="93"/>
        <v>32</v>
      </c>
      <c r="G118" s="3">
        <f t="shared" si="94"/>
        <v>43</v>
      </c>
      <c r="H118" s="3">
        <f t="shared" si="95"/>
        <v>53</v>
      </c>
      <c r="I118" s="3">
        <f t="shared" si="96"/>
        <v>96</v>
      </c>
      <c r="J118" s="3">
        <f t="shared" si="97"/>
        <v>173</v>
      </c>
      <c r="K118" s="3">
        <f t="shared" si="98"/>
        <v>3</v>
      </c>
      <c r="L118" s="3">
        <f t="shared" si="99"/>
        <v>48</v>
      </c>
      <c r="M118" s="3">
        <f t="shared" si="100"/>
        <v>74</v>
      </c>
      <c r="N118" s="3">
        <f t="shared" si="101"/>
        <v>233</v>
      </c>
      <c r="O118" s="3">
        <f t="shared" si="102"/>
        <v>2</v>
      </c>
      <c r="P118" s="3">
        <f t="shared" si="103"/>
        <v>32</v>
      </c>
      <c r="Q118" s="3">
        <f t="shared" si="104"/>
        <v>129</v>
      </c>
    </row>
    <row r="119" spans="1:17">
      <c r="A119">
        <f t="shared" si="88"/>
        <v>16016</v>
      </c>
      <c r="B119" s="3">
        <f t="shared" si="89"/>
        <v>49</v>
      </c>
      <c r="C119" s="3">
        <f t="shared" si="90"/>
        <v>173</v>
      </c>
      <c r="D119" s="3">
        <f t="shared" si="91"/>
        <v>1</v>
      </c>
      <c r="E119" s="3">
        <f t="shared" si="92"/>
        <v>62</v>
      </c>
      <c r="F119" s="3">
        <f t="shared" si="93"/>
        <v>201</v>
      </c>
      <c r="G119" s="3">
        <f t="shared" si="94"/>
        <v>1</v>
      </c>
      <c r="H119" s="3">
        <f t="shared" si="95"/>
        <v>208</v>
      </c>
      <c r="I119" s="3">
        <f t="shared" si="96"/>
        <v>5</v>
      </c>
      <c r="J119" s="3">
        <f t="shared" si="97"/>
        <v>169</v>
      </c>
      <c r="K119" s="3">
        <f t="shared" si="98"/>
        <v>73</v>
      </c>
      <c r="L119" s="3">
        <f t="shared" si="99"/>
        <v>24</v>
      </c>
      <c r="M119" s="3">
        <f t="shared" si="100"/>
        <v>144</v>
      </c>
      <c r="N119" s="3">
        <f t="shared" si="101"/>
        <v>2</v>
      </c>
      <c r="O119" s="3">
        <f t="shared" si="102"/>
        <v>169</v>
      </c>
      <c r="P119" s="3">
        <f t="shared" si="103"/>
        <v>79</v>
      </c>
      <c r="Q119" s="3">
        <f t="shared" si="104"/>
        <v>32</v>
      </c>
    </row>
    <row r="120" spans="1:17">
      <c r="A120">
        <f t="shared" si="88"/>
        <v>16032</v>
      </c>
      <c r="B120" s="3">
        <f t="shared" si="89"/>
        <v>155</v>
      </c>
      <c r="C120" s="3">
        <f t="shared" si="90"/>
        <v>49</v>
      </c>
      <c r="D120" s="3">
        <f t="shared" si="91"/>
        <v>169</v>
      </c>
      <c r="E120" s="3">
        <f t="shared" si="92"/>
        <v>2</v>
      </c>
      <c r="F120" s="3">
        <f t="shared" si="93"/>
        <v>32</v>
      </c>
      <c r="G120" s="3">
        <f t="shared" si="94"/>
        <v>129</v>
      </c>
      <c r="H120" s="3">
        <f t="shared" si="95"/>
        <v>49</v>
      </c>
      <c r="I120" s="3">
        <f t="shared" si="96"/>
        <v>173</v>
      </c>
      <c r="J120" s="3">
        <f t="shared" si="97"/>
        <v>7</v>
      </c>
      <c r="K120" s="3">
        <f t="shared" si="98"/>
        <v>48</v>
      </c>
      <c r="L120" s="3">
        <f t="shared" si="99"/>
        <v>32</v>
      </c>
      <c r="M120" s="3">
        <f t="shared" si="100"/>
        <v>155</v>
      </c>
      <c r="N120" s="3">
        <f t="shared" si="101"/>
        <v>49</v>
      </c>
      <c r="O120" s="3">
        <f t="shared" si="102"/>
        <v>169</v>
      </c>
      <c r="P120" s="3">
        <f t="shared" si="103"/>
        <v>2</v>
      </c>
      <c r="Q120" s="3">
        <f t="shared" si="104"/>
        <v>32</v>
      </c>
    </row>
    <row r="121" spans="1:17">
      <c r="A121">
        <f t="shared" si="88"/>
        <v>16048</v>
      </c>
      <c r="B121" s="3">
        <f t="shared" si="89"/>
        <v>129</v>
      </c>
      <c r="C121" s="3">
        <f t="shared" si="90"/>
        <v>49</v>
      </c>
      <c r="D121" s="3">
        <f t="shared" si="91"/>
        <v>173</v>
      </c>
      <c r="E121" s="3">
        <f t="shared" si="92"/>
        <v>6</v>
      </c>
      <c r="F121" s="3">
        <f t="shared" si="93"/>
        <v>50</v>
      </c>
      <c r="G121" s="3">
        <f t="shared" si="94"/>
        <v>32</v>
      </c>
      <c r="H121" s="3">
        <f t="shared" si="95"/>
        <v>163</v>
      </c>
      <c r="I121" s="3">
        <f t="shared" si="96"/>
        <v>49</v>
      </c>
      <c r="J121" s="3">
        <f t="shared" si="97"/>
        <v>173</v>
      </c>
      <c r="K121" s="3">
        <f t="shared" si="98"/>
        <v>5</v>
      </c>
      <c r="L121" s="3">
        <f t="shared" si="99"/>
        <v>50</v>
      </c>
      <c r="M121" s="3">
        <f t="shared" si="100"/>
        <v>32</v>
      </c>
      <c r="N121" s="3">
        <f t="shared" si="101"/>
        <v>163</v>
      </c>
      <c r="O121" s="3">
        <f t="shared" si="102"/>
        <v>49</v>
      </c>
      <c r="P121" s="3">
        <f t="shared" si="103"/>
        <v>96</v>
      </c>
      <c r="Q121" s="3">
        <f t="shared" si="104"/>
        <v>0</v>
      </c>
    </row>
    <row r="122" spans="1:17">
      <c r="A122">
        <f t="shared" si="88"/>
        <v>16064</v>
      </c>
      <c r="B122" s="3">
        <f t="shared" si="89"/>
        <v>147</v>
      </c>
      <c r="C122" s="3">
        <f t="shared" si="90"/>
        <v>148</v>
      </c>
      <c r="D122" s="3">
        <f t="shared" si="91"/>
        <v>29</v>
      </c>
      <c r="E122" s="3">
        <f t="shared" si="92"/>
        <v>157</v>
      </c>
      <c r="F122" s="3">
        <f t="shared" si="93"/>
        <v>16</v>
      </c>
      <c r="G122" s="3">
        <f t="shared" si="94"/>
        <v>20</v>
      </c>
      <c r="H122" s="3">
        <f t="shared" si="95"/>
        <v>81</v>
      </c>
      <c r="I122" s="3">
        <f t="shared" si="96"/>
        <v>0</v>
      </c>
      <c r="J122" s="3">
        <f t="shared" si="97"/>
        <v>32</v>
      </c>
      <c r="K122" s="3">
        <f t="shared" si="98"/>
        <v>224</v>
      </c>
      <c r="L122" s="3">
        <f t="shared" si="99"/>
        <v>50</v>
      </c>
      <c r="M122" s="3">
        <f t="shared" si="100"/>
        <v>205</v>
      </c>
      <c r="N122" s="3">
        <f t="shared" si="101"/>
        <v>198</v>
      </c>
      <c r="O122" s="3">
        <f t="shared" si="102"/>
        <v>62</v>
      </c>
      <c r="P122" s="3">
        <f t="shared" si="103"/>
        <v>208</v>
      </c>
      <c r="Q122" s="3">
        <f t="shared" si="104"/>
        <v>23</v>
      </c>
    </row>
    <row r="123" spans="1:17">
      <c r="A123">
        <f t="shared" si="88"/>
        <v>16080</v>
      </c>
      <c r="B123" s="3">
        <f t="shared" si="89"/>
        <v>72</v>
      </c>
      <c r="C123" s="3">
        <f t="shared" si="90"/>
        <v>32</v>
      </c>
      <c r="D123" s="3">
        <f t="shared" si="91"/>
        <v>224</v>
      </c>
      <c r="E123" s="3">
        <f t="shared" si="92"/>
        <v>50</v>
      </c>
      <c r="F123" s="3">
        <f t="shared" si="93"/>
        <v>205</v>
      </c>
      <c r="G123" s="3">
        <f t="shared" si="94"/>
        <v>198</v>
      </c>
      <c r="H123" s="3">
        <f t="shared" si="95"/>
        <v>62</v>
      </c>
      <c r="I123" s="3">
        <f t="shared" si="96"/>
        <v>208</v>
      </c>
      <c r="J123" s="3">
        <f t="shared" si="97"/>
        <v>4</v>
      </c>
      <c r="K123" s="3">
        <f t="shared" si="98"/>
        <v>104</v>
      </c>
      <c r="L123" s="3">
        <f t="shared" si="99"/>
        <v>104</v>
      </c>
      <c r="M123" s="3">
        <f t="shared" si="100"/>
        <v>104</v>
      </c>
      <c r="N123" s="3">
        <f t="shared" si="101"/>
        <v>96</v>
      </c>
      <c r="O123" s="3">
        <f t="shared" si="102"/>
        <v>141</v>
      </c>
      <c r="P123" s="3">
        <f t="shared" si="103"/>
        <v>199</v>
      </c>
      <c r="Q123" s="3">
        <f t="shared" si="104"/>
        <v>62</v>
      </c>
    </row>
    <row r="124" spans="1:17">
      <c r="A124">
        <f t="shared" si="88"/>
        <v>16096</v>
      </c>
      <c r="B124" s="3">
        <f t="shared" si="89"/>
        <v>104</v>
      </c>
      <c r="C124" s="3">
        <f t="shared" si="90"/>
        <v>32</v>
      </c>
      <c r="D124" s="3">
        <f t="shared" si="91"/>
        <v>231</v>
      </c>
      <c r="E124" s="3">
        <f t="shared" si="92"/>
        <v>62</v>
      </c>
      <c r="F124" s="3">
        <f t="shared" si="93"/>
        <v>173</v>
      </c>
      <c r="G124" s="3">
        <f t="shared" si="94"/>
        <v>199</v>
      </c>
      <c r="H124" s="3">
        <f t="shared" si="95"/>
        <v>62</v>
      </c>
      <c r="I124" s="3">
        <f t="shared" si="96"/>
        <v>205</v>
      </c>
      <c r="J124" s="3">
        <f t="shared" si="97"/>
        <v>193</v>
      </c>
      <c r="K124" s="3">
        <f t="shared" si="98"/>
        <v>62</v>
      </c>
      <c r="L124" s="3">
        <f t="shared" si="99"/>
        <v>208</v>
      </c>
      <c r="M124" s="3">
        <f t="shared" si="100"/>
        <v>11</v>
      </c>
      <c r="N124" s="3">
        <f t="shared" si="101"/>
        <v>206</v>
      </c>
      <c r="O124" s="3">
        <f t="shared" si="102"/>
        <v>1</v>
      </c>
      <c r="P124" s="3">
        <f t="shared" si="103"/>
        <v>62</v>
      </c>
      <c r="Q124" s="3">
        <f t="shared" si="104"/>
        <v>16</v>
      </c>
    </row>
    <row r="125" spans="1:17">
      <c r="A125">
        <f t="shared" si="88"/>
        <v>16112</v>
      </c>
      <c r="B125" s="3">
        <f t="shared" si="89"/>
        <v>5</v>
      </c>
      <c r="C125" s="3">
        <f t="shared" si="90"/>
        <v>169</v>
      </c>
      <c r="D125" s="3">
        <f t="shared" si="91"/>
        <v>1</v>
      </c>
      <c r="E125" s="3">
        <f t="shared" si="92"/>
        <v>141</v>
      </c>
      <c r="F125" s="3">
        <f t="shared" si="93"/>
        <v>1</v>
      </c>
      <c r="G125" s="3">
        <f t="shared" si="94"/>
        <v>62</v>
      </c>
      <c r="H125" s="3">
        <f t="shared" si="95"/>
        <v>96</v>
      </c>
      <c r="I125" s="3">
        <f t="shared" si="96"/>
        <v>205</v>
      </c>
      <c r="J125" s="3">
        <f t="shared" si="97"/>
        <v>194</v>
      </c>
      <c r="K125" s="3">
        <f t="shared" si="98"/>
        <v>62</v>
      </c>
      <c r="L125" s="3">
        <f t="shared" si="99"/>
        <v>208</v>
      </c>
      <c r="M125" s="3">
        <f t="shared" si="100"/>
        <v>4</v>
      </c>
      <c r="N125" s="3">
        <f t="shared" si="101"/>
        <v>32</v>
      </c>
      <c r="O125" s="3">
        <f t="shared" si="102"/>
        <v>121</v>
      </c>
      <c r="P125" s="3">
        <f t="shared" si="103"/>
        <v>63</v>
      </c>
      <c r="Q125" s="3">
        <f t="shared" si="104"/>
        <v>96</v>
      </c>
    </row>
    <row r="126" spans="1:17">
      <c r="A126">
        <f t="shared" si="88"/>
        <v>16128</v>
      </c>
      <c r="B126" s="3">
        <f t="shared" si="89"/>
        <v>205</v>
      </c>
      <c r="C126" s="3">
        <f t="shared" si="90"/>
        <v>195</v>
      </c>
      <c r="D126" s="3">
        <f t="shared" si="91"/>
        <v>62</v>
      </c>
      <c r="E126" s="3">
        <f t="shared" si="92"/>
        <v>208</v>
      </c>
      <c r="F126" s="3">
        <f t="shared" si="93"/>
        <v>4</v>
      </c>
      <c r="G126" s="3">
        <f t="shared" si="94"/>
        <v>32</v>
      </c>
      <c r="H126" s="3">
        <f t="shared" si="95"/>
        <v>135</v>
      </c>
      <c r="I126" s="3">
        <f t="shared" si="96"/>
        <v>63</v>
      </c>
      <c r="J126" s="3">
        <f t="shared" si="97"/>
        <v>96</v>
      </c>
      <c r="K126" s="3">
        <f t="shared" si="98"/>
        <v>205</v>
      </c>
      <c r="L126" s="3">
        <f t="shared" si="99"/>
        <v>197</v>
      </c>
      <c r="M126" s="3">
        <f t="shared" si="100"/>
        <v>62</v>
      </c>
      <c r="N126" s="3">
        <f t="shared" si="101"/>
        <v>208</v>
      </c>
      <c r="O126" s="3">
        <f t="shared" si="102"/>
        <v>4</v>
      </c>
      <c r="P126" s="3">
        <f t="shared" si="103"/>
        <v>32</v>
      </c>
      <c r="Q126" s="3">
        <f t="shared" si="104"/>
        <v>221</v>
      </c>
    </row>
    <row r="127" spans="1:17">
      <c r="A127">
        <f t="shared" si="88"/>
        <v>16144</v>
      </c>
      <c r="B127" s="3">
        <f t="shared" si="89"/>
        <v>63</v>
      </c>
      <c r="C127" s="3">
        <f t="shared" si="90"/>
        <v>96</v>
      </c>
      <c r="D127" s="3">
        <f t="shared" si="91"/>
        <v>205</v>
      </c>
      <c r="E127" s="3">
        <f t="shared" si="92"/>
        <v>196</v>
      </c>
      <c r="F127" s="3">
        <f t="shared" si="93"/>
        <v>62</v>
      </c>
      <c r="G127" s="3">
        <f t="shared" si="94"/>
        <v>208</v>
      </c>
      <c r="H127" s="3">
        <f t="shared" si="95"/>
        <v>4</v>
      </c>
      <c r="I127" s="3">
        <f t="shared" si="96"/>
        <v>32</v>
      </c>
      <c r="J127" s="3">
        <f t="shared" si="97"/>
        <v>197</v>
      </c>
      <c r="K127" s="3">
        <f t="shared" si="98"/>
        <v>63</v>
      </c>
      <c r="L127" s="3">
        <f t="shared" si="99"/>
        <v>96</v>
      </c>
      <c r="M127" s="3">
        <f t="shared" si="100"/>
        <v>205</v>
      </c>
      <c r="N127" s="3">
        <f t="shared" si="101"/>
        <v>192</v>
      </c>
      <c r="O127" s="3">
        <f t="shared" si="102"/>
        <v>62</v>
      </c>
      <c r="P127" s="3">
        <f t="shared" si="103"/>
        <v>208</v>
      </c>
      <c r="Q127" s="3">
        <f t="shared" si="104"/>
        <v>4</v>
      </c>
    </row>
    <row r="128" spans="1:17">
      <c r="A128">
        <f t="shared" si="88"/>
        <v>16160</v>
      </c>
      <c r="B128" s="3">
        <f t="shared" si="89"/>
        <v>32</v>
      </c>
      <c r="C128" s="3">
        <f t="shared" si="90"/>
        <v>180</v>
      </c>
      <c r="D128" s="3">
        <f t="shared" si="91"/>
        <v>63</v>
      </c>
      <c r="E128" s="3">
        <f t="shared" si="92"/>
        <v>96</v>
      </c>
      <c r="F128" s="3">
        <f t="shared" si="93"/>
        <v>174</v>
      </c>
      <c r="G128" s="3">
        <f t="shared" si="94"/>
        <v>1</v>
      </c>
      <c r="H128" s="3">
        <f t="shared" si="95"/>
        <v>62</v>
      </c>
      <c r="I128" s="3">
        <f t="shared" si="96"/>
        <v>240</v>
      </c>
      <c r="J128" s="3">
        <f t="shared" si="97"/>
        <v>4</v>
      </c>
      <c r="K128" s="3">
        <f t="shared" si="98"/>
        <v>32</v>
      </c>
      <c r="L128" s="3">
        <f t="shared" si="99"/>
        <v>52</v>
      </c>
      <c r="M128" s="3">
        <f t="shared" si="100"/>
        <v>63</v>
      </c>
      <c r="N128" s="3">
        <f t="shared" si="101"/>
        <v>96</v>
      </c>
      <c r="O128" s="3">
        <f t="shared" si="102"/>
        <v>32</v>
      </c>
      <c r="P128" s="3">
        <f t="shared" si="103"/>
        <v>45</v>
      </c>
      <c r="Q128" s="3">
        <f t="shared" si="104"/>
        <v>51</v>
      </c>
    </row>
    <row r="129" spans="1:17">
      <c r="A129">
        <f t="shared" si="88"/>
        <v>16176</v>
      </c>
      <c r="B129" s="3">
        <f t="shared" si="89"/>
        <v>32</v>
      </c>
      <c r="C129" s="3">
        <f t="shared" si="90"/>
        <v>125</v>
      </c>
      <c r="D129" s="3">
        <f t="shared" si="91"/>
        <v>55</v>
      </c>
      <c r="E129" s="3">
        <f t="shared" si="92"/>
        <v>96</v>
      </c>
      <c r="F129" s="3">
        <f t="shared" si="93"/>
        <v>72</v>
      </c>
      <c r="G129" s="3">
        <f t="shared" si="94"/>
        <v>32</v>
      </c>
      <c r="H129" s="3">
        <f t="shared" si="95"/>
        <v>18</v>
      </c>
      <c r="I129" s="3">
        <f t="shared" si="96"/>
        <v>53</v>
      </c>
      <c r="J129" s="3">
        <f t="shared" si="97"/>
        <v>173</v>
      </c>
      <c r="K129" s="3">
        <f t="shared" si="98"/>
        <v>83</v>
      </c>
      <c r="L129" s="3">
        <f t="shared" si="99"/>
        <v>53</v>
      </c>
      <c r="M129" s="3">
        <f t="shared" si="100"/>
        <v>72</v>
      </c>
      <c r="N129" s="3">
        <f t="shared" si="101"/>
        <v>173</v>
      </c>
      <c r="O129" s="3">
        <f t="shared" si="102"/>
        <v>82</v>
      </c>
      <c r="P129" s="3">
        <f t="shared" si="103"/>
        <v>53</v>
      </c>
      <c r="Q129" s="3">
        <f t="shared" si="104"/>
        <v>72</v>
      </c>
    </row>
    <row r="130" spans="1:17">
      <c r="A130">
        <f t="shared" si="88"/>
        <v>16192</v>
      </c>
      <c r="B130" s="3">
        <f t="shared" si="89"/>
        <v>173</v>
      </c>
      <c r="C130" s="3">
        <f t="shared" si="90"/>
        <v>85</v>
      </c>
      <c r="D130" s="3">
        <f t="shared" si="91"/>
        <v>53</v>
      </c>
      <c r="E130" s="3">
        <f t="shared" si="92"/>
        <v>72</v>
      </c>
      <c r="F130" s="3">
        <f t="shared" si="93"/>
        <v>173</v>
      </c>
      <c r="G130" s="3">
        <f t="shared" si="94"/>
        <v>84</v>
      </c>
      <c r="H130" s="3">
        <f t="shared" si="95"/>
        <v>53</v>
      </c>
      <c r="I130" s="3">
        <f t="shared" si="96"/>
        <v>72</v>
      </c>
      <c r="J130" s="3">
        <f t="shared" si="97"/>
        <v>32</v>
      </c>
      <c r="K130" s="3">
        <f t="shared" si="98"/>
        <v>97</v>
      </c>
      <c r="L130" s="3">
        <f t="shared" si="99"/>
        <v>54</v>
      </c>
      <c r="M130" s="3">
        <f t="shared" si="100"/>
        <v>32</v>
      </c>
      <c r="N130" s="3">
        <f t="shared" si="101"/>
        <v>125</v>
      </c>
      <c r="O130" s="3">
        <f t="shared" si="102"/>
        <v>55</v>
      </c>
      <c r="P130" s="3">
        <f t="shared" si="103"/>
        <v>48</v>
      </c>
      <c r="Q130" s="3">
        <f t="shared" si="104"/>
        <v>17</v>
      </c>
    </row>
    <row r="131" spans="1:17">
      <c r="A131">
        <f t="shared" si="88"/>
        <v>16208</v>
      </c>
      <c r="B131" s="3">
        <f t="shared" si="89"/>
        <v>32</v>
      </c>
      <c r="C131" s="3">
        <f t="shared" si="90"/>
        <v>226</v>
      </c>
      <c r="D131" s="3">
        <f t="shared" si="91"/>
        <v>56</v>
      </c>
      <c r="E131" s="3">
        <f t="shared" si="92"/>
        <v>173</v>
      </c>
      <c r="F131" s="3">
        <f t="shared" si="93"/>
        <v>84</v>
      </c>
      <c r="G131" s="3">
        <f t="shared" si="94"/>
        <v>53</v>
      </c>
      <c r="H131" s="3">
        <f t="shared" si="95"/>
        <v>208</v>
      </c>
      <c r="I131" s="3">
        <f t="shared" si="96"/>
        <v>3</v>
      </c>
      <c r="J131" s="3">
        <f t="shared" si="97"/>
        <v>206</v>
      </c>
      <c r="K131" s="3">
        <f t="shared" si="98"/>
        <v>85</v>
      </c>
      <c r="L131" s="3">
        <f t="shared" si="99"/>
        <v>53</v>
      </c>
      <c r="M131" s="3">
        <f t="shared" si="100"/>
        <v>206</v>
      </c>
      <c r="N131" s="3">
        <f t="shared" si="101"/>
        <v>84</v>
      </c>
      <c r="O131" s="3">
        <f t="shared" si="102"/>
        <v>53</v>
      </c>
      <c r="P131" s="3">
        <f t="shared" si="103"/>
        <v>32</v>
      </c>
      <c r="Q131" s="3">
        <f t="shared" si="104"/>
        <v>214</v>
      </c>
    </row>
    <row r="132" spans="1:17">
      <c r="A132">
        <f t="shared" si="88"/>
        <v>16224</v>
      </c>
      <c r="B132" s="3">
        <f t="shared" si="89"/>
        <v>55</v>
      </c>
      <c r="C132" s="3">
        <f t="shared" si="90"/>
        <v>104</v>
      </c>
      <c r="D132" s="3">
        <f t="shared" si="91"/>
        <v>141</v>
      </c>
      <c r="E132" s="3">
        <f t="shared" si="92"/>
        <v>84</v>
      </c>
      <c r="F132" s="3">
        <f t="shared" si="93"/>
        <v>53</v>
      </c>
      <c r="G132" s="3">
        <f t="shared" si="94"/>
        <v>104</v>
      </c>
      <c r="H132" s="3">
        <f t="shared" si="95"/>
        <v>141</v>
      </c>
      <c r="I132" s="3">
        <f t="shared" si="96"/>
        <v>85</v>
      </c>
      <c r="J132" s="3">
        <f t="shared" si="97"/>
        <v>53</v>
      </c>
      <c r="K132" s="3">
        <f t="shared" si="98"/>
        <v>104</v>
      </c>
      <c r="L132" s="3">
        <f t="shared" si="99"/>
        <v>141</v>
      </c>
      <c r="M132" s="3">
        <f t="shared" si="100"/>
        <v>82</v>
      </c>
      <c r="N132" s="3">
        <f t="shared" si="101"/>
        <v>53</v>
      </c>
      <c r="O132" s="3">
        <f t="shared" si="102"/>
        <v>104</v>
      </c>
      <c r="P132" s="3">
        <f t="shared" si="103"/>
        <v>141</v>
      </c>
      <c r="Q132" s="3">
        <f t="shared" si="104"/>
        <v>83</v>
      </c>
    </row>
    <row r="133" spans="1:17">
      <c r="A133">
        <f t="shared" si="88"/>
        <v>16240</v>
      </c>
      <c r="B133" s="3">
        <f t="shared" si="89"/>
        <v>53</v>
      </c>
      <c r="C133" s="3">
        <f t="shared" si="90"/>
        <v>32</v>
      </c>
      <c r="D133" s="3">
        <f t="shared" si="91"/>
        <v>43</v>
      </c>
      <c r="E133" s="3">
        <f t="shared" si="92"/>
        <v>53</v>
      </c>
      <c r="F133" s="3">
        <f t="shared" si="93"/>
        <v>104</v>
      </c>
      <c r="G133" s="3">
        <f t="shared" si="94"/>
        <v>32</v>
      </c>
      <c r="H133" s="3">
        <f t="shared" si="95"/>
        <v>45</v>
      </c>
      <c r="I133" s="3">
        <f t="shared" si="96"/>
        <v>63</v>
      </c>
      <c r="J133" s="3">
        <f t="shared" si="97"/>
        <v>96</v>
      </c>
      <c r="K133" s="3">
        <f t="shared" si="98"/>
        <v>32</v>
      </c>
      <c r="L133" s="3">
        <f t="shared" si="99"/>
        <v>149</v>
      </c>
      <c r="M133" s="3">
        <f t="shared" si="100"/>
        <v>50</v>
      </c>
      <c r="N133" s="3">
        <f t="shared" si="101"/>
        <v>201</v>
      </c>
      <c r="O133" s="3">
        <f t="shared" si="102"/>
        <v>255</v>
      </c>
      <c r="P133" s="3">
        <f t="shared" si="103"/>
        <v>240</v>
      </c>
      <c r="Q133" s="3">
        <f t="shared" si="104"/>
        <v>4</v>
      </c>
    </row>
    <row r="134" spans="1:17">
      <c r="A134">
        <f t="shared" si="88"/>
        <v>16256</v>
      </c>
      <c r="B134" s="3">
        <f t="shared" si="89"/>
        <v>32</v>
      </c>
      <c r="C134" s="3">
        <f t="shared" si="90"/>
        <v>125</v>
      </c>
      <c r="D134" s="3">
        <f t="shared" si="91"/>
        <v>55</v>
      </c>
      <c r="E134" s="3">
        <f t="shared" si="92"/>
        <v>96</v>
      </c>
      <c r="F134" s="3">
        <f t="shared" si="93"/>
        <v>169</v>
      </c>
      <c r="G134" s="3">
        <f t="shared" si="94"/>
        <v>255</v>
      </c>
      <c r="H134" s="3">
        <f t="shared" si="95"/>
        <v>96</v>
      </c>
      <c r="I134" s="3">
        <f t="shared" si="96"/>
        <v>56</v>
      </c>
      <c r="J134" s="3">
        <f t="shared" si="97"/>
        <v>173</v>
      </c>
      <c r="K134" s="3">
        <f t="shared" si="98"/>
        <v>83</v>
      </c>
      <c r="L134" s="3">
        <f t="shared" si="99"/>
        <v>53</v>
      </c>
      <c r="M134" s="3">
        <f t="shared" si="100"/>
        <v>205</v>
      </c>
      <c r="N134" s="3">
        <f t="shared" si="101"/>
        <v>6</v>
      </c>
      <c r="O134" s="3">
        <f t="shared" si="102"/>
        <v>50</v>
      </c>
      <c r="P134" s="3">
        <f t="shared" si="103"/>
        <v>144</v>
      </c>
      <c r="Q134" s="3">
        <f t="shared" si="104"/>
        <v>12</v>
      </c>
    </row>
    <row r="135" spans="1:17">
      <c r="A135">
        <f t="shared" si="88"/>
        <v>16272</v>
      </c>
      <c r="B135" s="3">
        <f t="shared" si="89"/>
        <v>208</v>
      </c>
      <c r="C135" s="3">
        <f t="shared" si="90"/>
        <v>16</v>
      </c>
      <c r="D135" s="3">
        <f t="shared" si="91"/>
        <v>173</v>
      </c>
      <c r="E135" s="3">
        <f t="shared" si="92"/>
        <v>82</v>
      </c>
      <c r="F135" s="3">
        <f t="shared" si="93"/>
        <v>53</v>
      </c>
      <c r="G135" s="3">
        <f t="shared" si="94"/>
        <v>205</v>
      </c>
      <c r="H135" s="3">
        <f t="shared" si="95"/>
        <v>5</v>
      </c>
      <c r="I135" s="3">
        <f t="shared" si="96"/>
        <v>50</v>
      </c>
      <c r="J135" s="3">
        <f t="shared" si="97"/>
        <v>240</v>
      </c>
      <c r="K135" s="3">
        <f t="shared" si="98"/>
        <v>23</v>
      </c>
      <c r="L135" s="3">
        <f t="shared" si="99"/>
        <v>176</v>
      </c>
      <c r="M135" s="3">
        <f t="shared" si="100"/>
        <v>6</v>
      </c>
      <c r="N135" s="3">
        <f t="shared" si="101"/>
        <v>32</v>
      </c>
      <c r="O135" s="3">
        <f t="shared" si="102"/>
        <v>26</v>
      </c>
      <c r="P135" s="3">
        <f t="shared" si="103"/>
        <v>51</v>
      </c>
      <c r="Q135" s="3">
        <f t="shared" si="104"/>
        <v>169</v>
      </c>
    </row>
    <row r="136" spans="1:17">
      <c r="A136">
        <f t="shared" si="88"/>
        <v>16288</v>
      </c>
      <c r="B136" s="3">
        <f t="shared" si="89"/>
        <v>0</v>
      </c>
      <c r="C136" s="3">
        <f t="shared" si="90"/>
        <v>96</v>
      </c>
      <c r="D136" s="3">
        <f t="shared" si="91"/>
        <v>173</v>
      </c>
      <c r="E136" s="3">
        <f t="shared" si="92"/>
        <v>82</v>
      </c>
      <c r="F136" s="3">
        <f t="shared" si="93"/>
        <v>53</v>
      </c>
      <c r="G136" s="3">
        <f t="shared" si="94"/>
        <v>141</v>
      </c>
      <c r="H136" s="3">
        <f t="shared" si="95"/>
        <v>5</v>
      </c>
      <c r="I136" s="3">
        <f t="shared" si="96"/>
        <v>50</v>
      </c>
      <c r="J136" s="3">
        <f t="shared" si="97"/>
        <v>173</v>
      </c>
      <c r="K136" s="3">
        <f t="shared" si="98"/>
        <v>83</v>
      </c>
      <c r="L136" s="3">
        <f t="shared" si="99"/>
        <v>53</v>
      </c>
      <c r="M136" s="3">
        <f t="shared" si="100"/>
        <v>141</v>
      </c>
      <c r="N136" s="3">
        <f t="shared" si="101"/>
        <v>6</v>
      </c>
      <c r="O136" s="3">
        <f t="shared" si="102"/>
        <v>50</v>
      </c>
      <c r="P136" s="3">
        <f t="shared" si="103"/>
        <v>169</v>
      </c>
      <c r="Q136" s="3">
        <f t="shared" si="104"/>
        <v>0</v>
      </c>
    </row>
    <row r="137" spans="1:17">
      <c r="A137">
        <f t="shared" si="88"/>
        <v>16304</v>
      </c>
      <c r="B137" s="3">
        <f t="shared" si="89"/>
        <v>96</v>
      </c>
      <c r="C137" s="3">
        <f t="shared" si="90"/>
        <v>169</v>
      </c>
      <c r="D137" s="3">
        <f t="shared" si="91"/>
        <v>255</v>
      </c>
      <c r="E137" s="3">
        <f t="shared" si="92"/>
        <v>96</v>
      </c>
      <c r="F137" s="3">
        <f t="shared" si="93"/>
        <v>32</v>
      </c>
      <c r="G137" s="3">
        <f t="shared" si="94"/>
        <v>154</v>
      </c>
      <c r="H137" s="3">
        <f t="shared" si="95"/>
        <v>55</v>
      </c>
      <c r="I137" s="3">
        <f t="shared" si="96"/>
        <v>169</v>
      </c>
      <c r="J137" s="3">
        <f t="shared" si="97"/>
        <v>255</v>
      </c>
      <c r="K137" s="3">
        <f t="shared" si="98"/>
        <v>32</v>
      </c>
      <c r="L137" s="3">
        <f t="shared" si="99"/>
        <v>45</v>
      </c>
      <c r="M137" s="3">
        <f t="shared" si="100"/>
        <v>51</v>
      </c>
      <c r="N137" s="3">
        <f t="shared" si="101"/>
        <v>32</v>
      </c>
      <c r="O137" s="3">
        <f t="shared" si="102"/>
        <v>125</v>
      </c>
      <c r="P137" s="3">
        <f t="shared" si="103"/>
        <v>55</v>
      </c>
      <c r="Q137" s="3">
        <f t="shared" si="104"/>
        <v>16</v>
      </c>
    </row>
    <row r="138" spans="1:17">
      <c r="A138">
        <f t="shared" si="88"/>
        <v>16320</v>
      </c>
      <c r="B138" s="3">
        <f t="shared" si="89"/>
        <v>246</v>
      </c>
      <c r="C138" s="3">
        <f t="shared" si="90"/>
        <v>32</v>
      </c>
      <c r="D138" s="3">
        <f t="shared" si="91"/>
        <v>154</v>
      </c>
      <c r="E138" s="3">
        <f t="shared" si="92"/>
        <v>55</v>
      </c>
      <c r="F138" s="3">
        <f t="shared" si="93"/>
        <v>96</v>
      </c>
      <c r="G138" s="3">
        <f t="shared" si="94"/>
        <v>32</v>
      </c>
      <c r="H138" s="3">
        <f t="shared" si="95"/>
        <v>154</v>
      </c>
      <c r="I138" s="3">
        <f t="shared" si="96"/>
        <v>55</v>
      </c>
      <c r="J138" s="3">
        <f t="shared" si="97"/>
        <v>32</v>
      </c>
      <c r="K138" s="3">
        <f t="shared" si="98"/>
        <v>20</v>
      </c>
      <c r="L138" s="3">
        <f t="shared" si="99"/>
        <v>52</v>
      </c>
      <c r="M138" s="3">
        <f t="shared" si="100"/>
        <v>32</v>
      </c>
      <c r="N138" s="3">
        <f t="shared" si="101"/>
        <v>149</v>
      </c>
      <c r="O138" s="3">
        <f t="shared" si="102"/>
        <v>50</v>
      </c>
      <c r="P138" s="3">
        <f t="shared" si="103"/>
        <v>201</v>
      </c>
      <c r="Q138" s="3">
        <f t="shared" si="104"/>
        <v>255</v>
      </c>
    </row>
    <row r="139" spans="1:17">
      <c r="A139">
        <f t="shared" si="88"/>
        <v>16336</v>
      </c>
      <c r="B139" s="3">
        <f t="shared" si="89"/>
        <v>240</v>
      </c>
      <c r="C139" s="3">
        <f t="shared" si="90"/>
        <v>8</v>
      </c>
      <c r="D139" s="3">
        <f t="shared" si="91"/>
        <v>32</v>
      </c>
      <c r="E139" s="3">
        <f t="shared" si="92"/>
        <v>64</v>
      </c>
      <c r="F139" s="3">
        <f t="shared" si="93"/>
        <v>52</v>
      </c>
      <c r="G139" s="3">
        <f t="shared" si="94"/>
        <v>32</v>
      </c>
      <c r="H139" s="3">
        <f t="shared" si="95"/>
        <v>125</v>
      </c>
      <c r="I139" s="3">
        <f t="shared" si="96"/>
        <v>55</v>
      </c>
      <c r="J139" s="3">
        <f t="shared" si="97"/>
        <v>16</v>
      </c>
      <c r="K139" s="3">
        <f t="shared" si="98"/>
        <v>241</v>
      </c>
      <c r="L139" s="3">
        <f t="shared" si="99"/>
        <v>76</v>
      </c>
      <c r="M139" s="3">
        <f t="shared" si="100"/>
        <v>26</v>
      </c>
      <c r="N139" s="3">
        <f t="shared" si="101"/>
        <v>52</v>
      </c>
      <c r="O139" s="3">
        <f t="shared" si="102"/>
        <v>32</v>
      </c>
      <c r="P139" s="3">
        <f t="shared" si="103"/>
        <v>18</v>
      </c>
      <c r="Q139" s="3">
        <f t="shared" si="104"/>
        <v>53</v>
      </c>
    </row>
    <row r="140" spans="1:17">
      <c r="A140">
        <f t="shared" si="88"/>
        <v>16352</v>
      </c>
      <c r="B140" s="3">
        <f t="shared" si="89"/>
        <v>173</v>
      </c>
      <c r="C140" s="3">
        <f t="shared" si="90"/>
        <v>83</v>
      </c>
      <c r="D140" s="3">
        <f t="shared" si="91"/>
        <v>53</v>
      </c>
      <c r="E140" s="3">
        <f t="shared" si="92"/>
        <v>72</v>
      </c>
      <c r="F140" s="3">
        <f t="shared" si="93"/>
        <v>173</v>
      </c>
      <c r="G140" s="3">
        <f t="shared" si="94"/>
        <v>82</v>
      </c>
      <c r="H140" s="3">
        <f t="shared" si="95"/>
        <v>53</v>
      </c>
      <c r="I140" s="3">
        <f t="shared" si="96"/>
        <v>72</v>
      </c>
      <c r="J140" s="3">
        <f t="shared" si="97"/>
        <v>32</v>
      </c>
      <c r="K140" s="3">
        <f t="shared" si="98"/>
        <v>226</v>
      </c>
      <c r="L140" s="3">
        <f t="shared" si="99"/>
        <v>56</v>
      </c>
      <c r="M140" s="3">
        <f t="shared" si="100"/>
        <v>32</v>
      </c>
      <c r="N140" s="3">
        <f t="shared" si="101"/>
        <v>125</v>
      </c>
      <c r="O140" s="3">
        <f t="shared" si="102"/>
        <v>55</v>
      </c>
      <c r="P140" s="3">
        <f t="shared" si="103"/>
        <v>32</v>
      </c>
      <c r="Q140" s="3">
        <f t="shared" si="104"/>
        <v>97</v>
      </c>
    </row>
    <row r="141" spans="1:17">
      <c r="A141">
        <f t="shared" si="88"/>
        <v>16368</v>
      </c>
      <c r="B141" s="3">
        <f t="shared" si="89"/>
        <v>54</v>
      </c>
      <c r="C141" s="3">
        <f t="shared" si="90"/>
        <v>32</v>
      </c>
      <c r="D141" s="3">
        <f t="shared" si="91"/>
        <v>214</v>
      </c>
      <c r="E141" s="3">
        <f t="shared" si="92"/>
        <v>55</v>
      </c>
      <c r="F141" s="3">
        <f t="shared" si="93"/>
        <v>104</v>
      </c>
      <c r="G141" s="3">
        <f t="shared" si="94"/>
        <v>141</v>
      </c>
      <c r="H141" s="3">
        <f t="shared" si="95"/>
        <v>82</v>
      </c>
      <c r="I141" s="3">
        <f t="shared" si="96"/>
        <v>53</v>
      </c>
      <c r="J141" s="3">
        <f t="shared" si="97"/>
        <v>104</v>
      </c>
      <c r="K141" s="3">
        <f t="shared" si="98"/>
        <v>141</v>
      </c>
      <c r="L141" s="3">
        <f t="shared" si="99"/>
        <v>83</v>
      </c>
      <c r="M141" s="3">
        <f t="shared" si="100"/>
        <v>53</v>
      </c>
      <c r="N141" s="3">
        <f t="shared" si="101"/>
        <v>32</v>
      </c>
      <c r="O141" s="3">
        <f t="shared" si="102"/>
        <v>43</v>
      </c>
      <c r="P141" s="3">
        <f t="shared" si="103"/>
        <v>53</v>
      </c>
      <c r="Q141" s="3">
        <f t="shared" si="104"/>
        <v>96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sqref="A1:A64"/>
    </sheetView>
  </sheetViews>
  <sheetFormatPr defaultRowHeight="15"/>
  <sheetData>
    <row r="1" spans="1:1">
      <c r="A1" s="9" t="s">
        <v>92</v>
      </c>
    </row>
    <row r="2" spans="1:1">
      <c r="A2" s="9" t="s">
        <v>124</v>
      </c>
    </row>
    <row r="3" spans="1:1">
      <c r="A3" s="9" t="s">
        <v>93</v>
      </c>
    </row>
    <row r="4" spans="1:1">
      <c r="A4" s="9" t="s">
        <v>125</v>
      </c>
    </row>
    <row r="5" spans="1:1">
      <c r="A5" s="9" t="s">
        <v>94</v>
      </c>
    </row>
    <row r="6" spans="1:1">
      <c r="A6" s="9" t="s">
        <v>126</v>
      </c>
    </row>
    <row r="7" spans="1:1">
      <c r="A7" s="9" t="s">
        <v>95</v>
      </c>
    </row>
    <row r="8" spans="1:1">
      <c r="A8" s="9" t="s">
        <v>127</v>
      </c>
    </row>
    <row r="9" spans="1:1">
      <c r="A9" s="9" t="s">
        <v>96</v>
      </c>
    </row>
    <row r="10" spans="1:1">
      <c r="A10" s="9" t="s">
        <v>128</v>
      </c>
    </row>
    <row r="11" spans="1:1">
      <c r="A11" s="9" t="s">
        <v>97</v>
      </c>
    </row>
    <row r="12" spans="1:1">
      <c r="A12" s="9" t="s">
        <v>129</v>
      </c>
    </row>
    <row r="13" spans="1:1">
      <c r="A13" s="9" t="s">
        <v>98</v>
      </c>
    </row>
    <row r="14" spans="1:1">
      <c r="A14" s="9" t="s">
        <v>130</v>
      </c>
    </row>
    <row r="15" spans="1:1">
      <c r="A15" s="9" t="s">
        <v>99</v>
      </c>
    </row>
    <row r="16" spans="1:1">
      <c r="A16" s="9" t="s">
        <v>131</v>
      </c>
    </row>
    <row r="17" spans="1:1">
      <c r="A17" s="9" t="s">
        <v>100</v>
      </c>
    </row>
    <row r="18" spans="1:1">
      <c r="A18" s="9" t="s">
        <v>132</v>
      </c>
    </row>
    <row r="19" spans="1:1">
      <c r="A19" s="9" t="s">
        <v>101</v>
      </c>
    </row>
    <row r="20" spans="1:1">
      <c r="A20" s="9" t="s">
        <v>133</v>
      </c>
    </row>
    <row r="21" spans="1:1">
      <c r="A21" s="9" t="s">
        <v>102</v>
      </c>
    </row>
    <row r="22" spans="1:1">
      <c r="A22" s="9" t="s">
        <v>134</v>
      </c>
    </row>
    <row r="23" spans="1:1">
      <c r="A23" s="9" t="s">
        <v>103</v>
      </c>
    </row>
    <row r="24" spans="1:1">
      <c r="A24" s="9" t="s">
        <v>135</v>
      </c>
    </row>
    <row r="25" spans="1:1">
      <c r="A25" s="9" t="s">
        <v>104</v>
      </c>
    </row>
    <row r="26" spans="1:1">
      <c r="A26" s="9" t="s">
        <v>136</v>
      </c>
    </row>
    <row r="27" spans="1:1">
      <c r="A27" s="9" t="s">
        <v>105</v>
      </c>
    </row>
    <row r="28" spans="1:1">
      <c r="A28" s="9" t="s">
        <v>137</v>
      </c>
    </row>
    <row r="29" spans="1:1">
      <c r="A29" s="9" t="s">
        <v>106</v>
      </c>
    </row>
    <row r="30" spans="1:1">
      <c r="A30" s="9" t="s">
        <v>138</v>
      </c>
    </row>
    <row r="31" spans="1:1">
      <c r="A31" s="9" t="s">
        <v>107</v>
      </c>
    </row>
    <row r="32" spans="1:1">
      <c r="A32" s="9" t="s">
        <v>139</v>
      </c>
    </row>
    <row r="33" spans="1:1">
      <c r="A33" s="9" t="s">
        <v>108</v>
      </c>
    </row>
    <row r="34" spans="1:1">
      <c r="A34" s="9" t="s">
        <v>140</v>
      </c>
    </row>
    <row r="35" spans="1:1">
      <c r="A35" s="9" t="s">
        <v>109</v>
      </c>
    </row>
    <row r="36" spans="1:1">
      <c r="A36" s="9" t="s">
        <v>141</v>
      </c>
    </row>
    <row r="37" spans="1:1">
      <c r="A37" s="9" t="s">
        <v>110</v>
      </c>
    </row>
    <row r="38" spans="1:1">
      <c r="A38" s="9" t="s">
        <v>142</v>
      </c>
    </row>
    <row r="39" spans="1:1">
      <c r="A39" s="9" t="s">
        <v>111</v>
      </c>
    </row>
    <row r="40" spans="1:1">
      <c r="A40" s="9" t="s">
        <v>143</v>
      </c>
    </row>
    <row r="41" spans="1:1">
      <c r="A41" s="9" t="s">
        <v>112</v>
      </c>
    </row>
    <row r="42" spans="1:1">
      <c r="A42" s="9" t="s">
        <v>144</v>
      </c>
    </row>
    <row r="43" spans="1:1">
      <c r="A43" s="9" t="s">
        <v>113</v>
      </c>
    </row>
    <row r="44" spans="1:1">
      <c r="A44" s="9" t="s">
        <v>145</v>
      </c>
    </row>
    <row r="45" spans="1:1">
      <c r="A45" s="9" t="s">
        <v>114</v>
      </c>
    </row>
    <row r="46" spans="1:1">
      <c r="A46" s="9" t="s">
        <v>146</v>
      </c>
    </row>
    <row r="47" spans="1:1">
      <c r="A47" s="9" t="s">
        <v>115</v>
      </c>
    </row>
    <row r="48" spans="1:1">
      <c r="A48" s="9" t="s">
        <v>147</v>
      </c>
    </row>
    <row r="49" spans="1:1">
      <c r="A49" s="9" t="s">
        <v>116</v>
      </c>
    </row>
    <row r="50" spans="1:1">
      <c r="A50" s="9" t="s">
        <v>148</v>
      </c>
    </row>
    <row r="51" spans="1:1">
      <c r="A51" s="9" t="s">
        <v>117</v>
      </c>
    </row>
    <row r="52" spans="1:1">
      <c r="A52" s="9" t="s">
        <v>149</v>
      </c>
    </row>
    <row r="53" spans="1:1">
      <c r="A53" s="9" t="s">
        <v>118</v>
      </c>
    </row>
    <row r="54" spans="1:1">
      <c r="A54" s="9" t="s">
        <v>150</v>
      </c>
    </row>
    <row r="55" spans="1:1">
      <c r="A55" s="9" t="s">
        <v>119</v>
      </c>
    </row>
    <row r="56" spans="1:1">
      <c r="A56" s="9" t="s">
        <v>151</v>
      </c>
    </row>
    <row r="57" spans="1:1">
      <c r="A57" s="9" t="s">
        <v>120</v>
      </c>
    </row>
    <row r="58" spans="1:1">
      <c r="A58" s="9" t="s">
        <v>152</v>
      </c>
    </row>
    <row r="59" spans="1:1">
      <c r="A59" s="9" t="s">
        <v>121</v>
      </c>
    </row>
    <row r="60" spans="1:1">
      <c r="A60" s="9" t="s">
        <v>153</v>
      </c>
    </row>
    <row r="61" spans="1:1">
      <c r="A61" s="9" t="s">
        <v>122</v>
      </c>
    </row>
    <row r="62" spans="1:1">
      <c r="A62" s="9" t="s">
        <v>154</v>
      </c>
    </row>
    <row r="63" spans="1:1">
      <c r="A63" s="9" t="s">
        <v>123</v>
      </c>
    </row>
    <row r="64" spans="1:1">
      <c r="A64" s="9" t="s">
        <v>155</v>
      </c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2016-04-15T19:15:16Z</dcterms:modified>
</cp:coreProperties>
</file>